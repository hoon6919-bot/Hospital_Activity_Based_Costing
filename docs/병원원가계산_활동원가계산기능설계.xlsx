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SUNG\Desktop\SD.신동\00-system\"/>
    </mc:Choice>
  </mc:AlternateContent>
  <xr:revisionPtr revIDLastSave="0" documentId="13_ncr:1_{85FE6D53-9F01-44F2-A5E5-4BBA76637D26}" xr6:coauthVersionLast="47" xr6:coauthVersionMax="47" xr10:uidLastSave="{00000000-0000-0000-0000-000000000000}"/>
  <bookViews>
    <workbookView xWindow="-108" yWindow="-108" windowWidth="23256" windowHeight="12456" xr2:uid="{EC3189CD-EE93-4EAB-B62E-C02F442ACD7C}"/>
  </bookViews>
  <sheets>
    <sheet name="원가계산" sheetId="1" r:id="rId1"/>
  </sheets>
  <definedNames>
    <definedName name="_xlnm._FilterDatabase" localSheetId="0" hidden="1">원가계산!$BN$26:$CK$43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R85" i="1" l="1"/>
  <c r="BR64" i="1"/>
  <c r="AN48" i="1"/>
  <c r="AZ7" i="1" s="1"/>
  <c r="AM48" i="1"/>
  <c r="AY7" i="1" s="1"/>
  <c r="AL48" i="1"/>
  <c r="AX7" i="1" s="1"/>
  <c r="AN47" i="1"/>
  <c r="AM47" i="1"/>
  <c r="AL47" i="1"/>
  <c r="AN46" i="1"/>
  <c r="AM46" i="1"/>
  <c r="AL46" i="1"/>
  <c r="AN45" i="1"/>
  <c r="AM45" i="1"/>
  <c r="AL45" i="1"/>
  <c r="AN44" i="1"/>
  <c r="AM44" i="1"/>
  <c r="AL44" i="1"/>
  <c r="BW43" i="1"/>
  <c r="BR43" i="1"/>
  <c r="AN43" i="1"/>
  <c r="AM43" i="1"/>
  <c r="AL43" i="1"/>
  <c r="CK42" i="1"/>
  <c r="CI42" i="1"/>
  <c r="CH42" i="1"/>
  <c r="CF42" i="1"/>
  <c r="CD42" i="1"/>
  <c r="CB42" i="1"/>
  <c r="BZ42" i="1"/>
  <c r="BX42" i="1"/>
  <c r="AN42" i="1"/>
  <c r="AM42" i="1"/>
  <c r="AL42" i="1"/>
  <c r="CK41" i="1"/>
  <c r="CI41" i="1"/>
  <c r="CH41" i="1"/>
  <c r="CF41" i="1"/>
  <c r="CD41" i="1"/>
  <c r="CB41" i="1"/>
  <c r="BZ41" i="1"/>
  <c r="BX41" i="1"/>
  <c r="AN41" i="1"/>
  <c r="AM41" i="1"/>
  <c r="AL41" i="1"/>
  <c r="CK40" i="1"/>
  <c r="CI40" i="1"/>
  <c r="CH40" i="1"/>
  <c r="CF40" i="1"/>
  <c r="CD40" i="1"/>
  <c r="CB40" i="1"/>
  <c r="BZ40" i="1"/>
  <c r="BX40" i="1"/>
  <c r="AN40" i="1"/>
  <c r="AM40" i="1"/>
  <c r="AL40" i="1"/>
  <c r="CK39" i="1"/>
  <c r="CI39" i="1"/>
  <c r="CH39" i="1"/>
  <c r="CF39" i="1"/>
  <c r="CD39" i="1"/>
  <c r="CB39" i="1"/>
  <c r="BZ39" i="1"/>
  <c r="BX39" i="1"/>
  <c r="AN39" i="1"/>
  <c r="AM39" i="1"/>
  <c r="AL39" i="1"/>
  <c r="CK38" i="1"/>
  <c r="CI38" i="1"/>
  <c r="CH38" i="1"/>
  <c r="CF38" i="1"/>
  <c r="CD38" i="1"/>
  <c r="CB38" i="1"/>
  <c r="BZ38" i="1"/>
  <c r="BX38" i="1"/>
  <c r="AN38" i="1"/>
  <c r="AM38" i="1"/>
  <c r="AL38" i="1"/>
  <c r="CK37" i="1"/>
  <c r="CJ37" i="1"/>
  <c r="CG37" i="1"/>
  <c r="CE37" i="1"/>
  <c r="CC37" i="1"/>
  <c r="CA37" i="1"/>
  <c r="BY37" i="1"/>
  <c r="AN37" i="1"/>
  <c r="AM37" i="1"/>
  <c r="AL37" i="1"/>
  <c r="CK36" i="1"/>
  <c r="CJ36" i="1"/>
  <c r="CG36" i="1"/>
  <c r="CE36" i="1"/>
  <c r="CC36" i="1"/>
  <c r="CA36" i="1"/>
  <c r="BY36" i="1"/>
  <c r="CK35" i="1"/>
  <c r="CJ35" i="1"/>
  <c r="CG35" i="1"/>
  <c r="CE35" i="1"/>
  <c r="CC35" i="1"/>
  <c r="CA35" i="1"/>
  <c r="BY35" i="1"/>
  <c r="CK34" i="1"/>
  <c r="CJ34" i="1"/>
  <c r="CG34" i="1"/>
  <c r="CE34" i="1"/>
  <c r="CC34" i="1"/>
  <c r="CA34" i="1"/>
  <c r="BY34" i="1"/>
  <c r="CK33" i="1"/>
  <c r="CJ33" i="1"/>
  <c r="CG33" i="1"/>
  <c r="CE33" i="1"/>
  <c r="CC33" i="1"/>
  <c r="CA33" i="1"/>
  <c r="BY33" i="1"/>
  <c r="CK32" i="1"/>
  <c r="CJ32" i="1"/>
  <c r="CG32" i="1"/>
  <c r="CE32" i="1"/>
  <c r="CC32" i="1"/>
  <c r="CA32" i="1"/>
  <c r="BY32" i="1"/>
  <c r="CK31" i="1"/>
  <c r="CJ31" i="1"/>
  <c r="CG31" i="1"/>
  <c r="CE31" i="1"/>
  <c r="CC31" i="1"/>
  <c r="CA31" i="1"/>
  <c r="BY31" i="1"/>
  <c r="CK30" i="1"/>
  <c r="CJ30" i="1"/>
  <c r="CG30" i="1"/>
  <c r="CE30" i="1"/>
  <c r="CC30" i="1"/>
  <c r="CA30" i="1"/>
  <c r="BY30" i="1"/>
  <c r="CK29" i="1"/>
  <c r="CJ29" i="1"/>
  <c r="CG29" i="1"/>
  <c r="CE29" i="1"/>
  <c r="CC29" i="1"/>
  <c r="CA29" i="1"/>
  <c r="BY29" i="1"/>
  <c r="BA29" i="1"/>
  <c r="AR29" i="1"/>
  <c r="AP29" i="1"/>
  <c r="AQ29" i="1" s="1"/>
  <c r="CK28" i="1"/>
  <c r="CJ28" i="1"/>
  <c r="CG28" i="1"/>
  <c r="CE28" i="1"/>
  <c r="CC28" i="1"/>
  <c r="CA28" i="1"/>
  <c r="BY28" i="1"/>
  <c r="BA28" i="1"/>
  <c r="AP28" i="1"/>
  <c r="AQ28" i="1" s="1"/>
  <c r="CK27" i="1"/>
  <c r="CJ27" i="1"/>
  <c r="CG27" i="1"/>
  <c r="CE27" i="1"/>
  <c r="CC27" i="1"/>
  <c r="CA27" i="1"/>
  <c r="BY27" i="1"/>
  <c r="BA27" i="1"/>
  <c r="AP27" i="1"/>
  <c r="AQ27" i="1" s="1"/>
  <c r="BA26" i="1"/>
  <c r="AP26" i="1"/>
  <c r="AQ26" i="1" s="1"/>
  <c r="BA25" i="1"/>
  <c r="AR25" i="1"/>
  <c r="AP25" i="1"/>
  <c r="AQ25" i="1" s="1"/>
  <c r="BA24" i="1"/>
  <c r="AR24" i="1"/>
  <c r="AP24" i="1"/>
  <c r="AQ24" i="1" s="1"/>
  <c r="BA23" i="1"/>
  <c r="AR23" i="1"/>
  <c r="AP23" i="1"/>
  <c r="AQ23" i="1" s="1"/>
  <c r="BA22" i="1"/>
  <c r="AR22" i="1"/>
  <c r="AP22" i="1"/>
  <c r="AQ22" i="1" s="1"/>
  <c r="BA21" i="1"/>
  <c r="AR21" i="1"/>
  <c r="AP21" i="1"/>
  <c r="AQ21" i="1" s="1"/>
  <c r="BM20" i="1"/>
  <c r="BA20" i="1"/>
  <c r="AR20" i="1"/>
  <c r="AP20" i="1"/>
  <c r="AQ20" i="1" s="1"/>
  <c r="BM19" i="1"/>
  <c r="BA19" i="1"/>
  <c r="AR19" i="1"/>
  <c r="AP19" i="1"/>
  <c r="AQ19" i="1" s="1"/>
  <c r="BM18" i="1"/>
  <c r="BA18" i="1"/>
  <c r="AR18" i="1"/>
  <c r="AP18" i="1"/>
  <c r="AQ18" i="1" s="1"/>
  <c r="BM17" i="1"/>
  <c r="BM16" i="1"/>
  <c r="AH16" i="1"/>
  <c r="Z16" i="1"/>
  <c r="BM15" i="1"/>
  <c r="Z15" i="1"/>
  <c r="AA15" i="1" s="1"/>
  <c r="BM14" i="1"/>
  <c r="Z14" i="1"/>
  <c r="AA14" i="1" s="1"/>
  <c r="BM13" i="1"/>
  <c r="Z13" i="1"/>
  <c r="AA13" i="1" s="1"/>
  <c r="BM12" i="1"/>
  <c r="Z12" i="1"/>
  <c r="AA12" i="1" s="1"/>
  <c r="BM11" i="1"/>
  <c r="BM10" i="1"/>
  <c r="BM9" i="1"/>
  <c r="BM8" i="1"/>
  <c r="BM7" i="1"/>
  <c r="AS23" i="1" l="1"/>
  <c r="AO42" i="1" s="1"/>
  <c r="BA42" i="1" s="1"/>
  <c r="AS22" i="1"/>
  <c r="AO41" i="1" s="1"/>
  <c r="BA41" i="1" s="1"/>
  <c r="AS29" i="1"/>
  <c r="AO48" i="1" s="1"/>
  <c r="BA48" i="1" s="1"/>
  <c r="AS25" i="1"/>
  <c r="AO44" i="1" s="1"/>
  <c r="BA44" i="1" s="1"/>
  <c r="BB19" i="1"/>
  <c r="CK43" i="1"/>
  <c r="CK56" i="1" s="1"/>
  <c r="AS20" i="1"/>
  <c r="AO39" i="1" s="1"/>
  <c r="BA39" i="1" s="1"/>
  <c r="AB12" i="1"/>
  <c r="AS21" i="1"/>
  <c r="AO40" i="1" s="1"/>
  <c r="BA40" i="1" s="1"/>
  <c r="CJ43" i="1"/>
  <c r="CJ55" i="1" s="1"/>
  <c r="CI43" i="1"/>
  <c r="CI50" i="1" s="1"/>
  <c r="BZ43" i="1"/>
  <c r="BZ53" i="1" s="1"/>
  <c r="CD43" i="1"/>
  <c r="CD51" i="1" s="1"/>
  <c r="AS19" i="1"/>
  <c r="AO38" i="1" s="1"/>
  <c r="BA38" i="1" s="1"/>
  <c r="BB24" i="1"/>
  <c r="BB27" i="1"/>
  <c r="BB23" i="1"/>
  <c r="CF43" i="1"/>
  <c r="CF62" i="1" s="1"/>
  <c r="CI62" i="1"/>
  <c r="BB28" i="1"/>
  <c r="BB26" i="1"/>
  <c r="BB29" i="1"/>
  <c r="CH43" i="1"/>
  <c r="CH59" i="1" s="1"/>
  <c r="AB15" i="1"/>
  <c r="AB14" i="1"/>
  <c r="AA16" i="1"/>
  <c r="BY43" i="1"/>
  <c r="BY49" i="1" s="1"/>
  <c r="CI54" i="1"/>
  <c r="AB13" i="1"/>
  <c r="BB21" i="1"/>
  <c r="AS24" i="1"/>
  <c r="AO43" i="1" s="1"/>
  <c r="BA43" i="1" s="1"/>
  <c r="BX43" i="1"/>
  <c r="BX61" i="1" s="1"/>
  <c r="CC43" i="1"/>
  <c r="CC54" i="1" s="1"/>
  <c r="CB43" i="1"/>
  <c r="CB59" i="1" s="1"/>
  <c r="AQ30" i="1"/>
  <c r="AS18" i="1"/>
  <c r="BB20" i="1"/>
  <c r="BB25" i="1"/>
  <c r="CE43" i="1"/>
  <c r="CE57" i="1" s="1"/>
  <c r="CG43" i="1"/>
  <c r="CG54" i="1" s="1"/>
  <c r="BB22" i="1"/>
  <c r="BB18" i="1"/>
  <c r="CA43" i="1"/>
  <c r="CA55" i="1" s="1"/>
  <c r="CI58" i="1" l="1"/>
  <c r="CK61" i="1"/>
  <c r="CK63" i="1"/>
  <c r="BZ57" i="1"/>
  <c r="CK49" i="1"/>
  <c r="CK58" i="1"/>
  <c r="CI64" i="1"/>
  <c r="CI65" i="1" s="1"/>
  <c r="CK54" i="1"/>
  <c r="CI56" i="1"/>
  <c r="CK62" i="1"/>
  <c r="CK60" i="1"/>
  <c r="BZ51" i="1"/>
  <c r="CK64" i="1"/>
  <c r="CK65" i="1" s="1"/>
  <c r="CK57" i="1"/>
  <c r="CK51" i="1"/>
  <c r="CI61" i="1"/>
  <c r="BA7" i="1"/>
  <c r="BC24" i="1" s="1"/>
  <c r="BZ63" i="1"/>
  <c r="CF61" i="1"/>
  <c r="CI57" i="1"/>
  <c r="BZ61" i="1"/>
  <c r="CD63" i="1"/>
  <c r="CK59" i="1"/>
  <c r="CD48" i="1"/>
  <c r="CC53" i="1"/>
  <c r="CK55" i="1"/>
  <c r="CD50" i="1"/>
  <c r="CJ60" i="1"/>
  <c r="BZ55" i="1"/>
  <c r="CK52" i="1"/>
  <c r="CH63" i="1"/>
  <c r="CK53" i="1"/>
  <c r="CK48" i="1"/>
  <c r="CJ64" i="1"/>
  <c r="CJ65" i="1" s="1"/>
  <c r="BZ60" i="1"/>
  <c r="CK50" i="1"/>
  <c r="CI63" i="1"/>
  <c r="CI52" i="1"/>
  <c r="BZ62" i="1"/>
  <c r="BY50" i="1"/>
  <c r="CJ54" i="1"/>
  <c r="CJ62" i="1"/>
  <c r="CJ48" i="1"/>
  <c r="CJ57" i="1"/>
  <c r="CJ58" i="1"/>
  <c r="CD59" i="1"/>
  <c r="CJ53" i="1"/>
  <c r="CC52" i="1"/>
  <c r="BY51" i="1"/>
  <c r="BY52" i="1"/>
  <c r="CJ61" i="1"/>
  <c r="CJ59" i="1"/>
  <c r="CD55" i="1"/>
  <c r="CJ56" i="1"/>
  <c r="CE54" i="1"/>
  <c r="BY54" i="1"/>
  <c r="CJ51" i="1"/>
  <c r="CJ52" i="1"/>
  <c r="CJ49" i="1"/>
  <c r="BC19" i="1"/>
  <c r="CC56" i="1"/>
  <c r="BZ48" i="1"/>
  <c r="CE49" i="1"/>
  <c r="CD61" i="1"/>
  <c r="CD54" i="1"/>
  <c r="CD56" i="1"/>
  <c r="CD62" i="1"/>
  <c r="CD52" i="1"/>
  <c r="CD60" i="1"/>
  <c r="CD58" i="1"/>
  <c r="CD64" i="1"/>
  <c r="CD65" i="1" s="1"/>
  <c r="CI60" i="1"/>
  <c r="CI59" i="1"/>
  <c r="BZ56" i="1"/>
  <c r="BZ54" i="1"/>
  <c r="CI55" i="1"/>
  <c r="CC51" i="1"/>
  <c r="CA58" i="1"/>
  <c r="CA49" i="1"/>
  <c r="CF59" i="1"/>
  <c r="CD49" i="1"/>
  <c r="BY57" i="1"/>
  <c r="BZ64" i="1"/>
  <c r="BZ65" i="1" s="1"/>
  <c r="BZ58" i="1"/>
  <c r="CE58" i="1"/>
  <c r="CI49" i="1"/>
  <c r="CI48" i="1"/>
  <c r="BY58" i="1"/>
  <c r="CD53" i="1"/>
  <c r="CJ63" i="1"/>
  <c r="CJ50" i="1"/>
  <c r="AB16" i="1"/>
  <c r="BZ50" i="1"/>
  <c r="CI51" i="1"/>
  <c r="BZ59" i="1"/>
  <c r="BZ52" i="1"/>
  <c r="CI53" i="1"/>
  <c r="BY55" i="1"/>
  <c r="CD57" i="1"/>
  <c r="BZ49" i="1"/>
  <c r="BC25" i="1"/>
  <c r="CC63" i="1"/>
  <c r="CC59" i="1"/>
  <c r="CC55" i="1"/>
  <c r="CC64" i="1"/>
  <c r="CC65" i="1" s="1"/>
  <c r="CC60" i="1"/>
  <c r="CC61" i="1"/>
  <c r="CC62" i="1"/>
  <c r="CC48" i="1"/>
  <c r="BC23" i="1"/>
  <c r="CA51" i="1"/>
  <c r="BC18" i="1"/>
  <c r="CE60" i="1"/>
  <c r="CE61" i="1"/>
  <c r="CE62" i="1"/>
  <c r="CE63" i="1"/>
  <c r="CE59" i="1"/>
  <c r="CE51" i="1"/>
  <c r="CE64" i="1"/>
  <c r="CE65" i="1" s="1"/>
  <c r="CG55" i="1"/>
  <c r="BC20" i="1"/>
  <c r="CG57" i="1"/>
  <c r="CF57" i="1"/>
  <c r="CF53" i="1"/>
  <c r="CF49" i="1"/>
  <c r="CF63" i="1"/>
  <c r="CF55" i="1"/>
  <c r="CF58" i="1"/>
  <c r="CF54" i="1"/>
  <c r="CF50" i="1"/>
  <c r="CF48" i="1"/>
  <c r="CF51" i="1"/>
  <c r="CF64" i="1"/>
  <c r="CF65" i="1" s="1"/>
  <c r="CF60" i="1"/>
  <c r="CF52" i="1"/>
  <c r="CF56" i="1"/>
  <c r="CH62" i="1"/>
  <c r="CC50" i="1"/>
  <c r="CA62" i="1"/>
  <c r="CA54" i="1"/>
  <c r="CA50" i="1"/>
  <c r="CA63" i="1"/>
  <c r="CA59" i="1"/>
  <c r="CA64" i="1"/>
  <c r="CA65" i="1" s="1"/>
  <c r="CA60" i="1"/>
  <c r="CA61" i="1"/>
  <c r="CA57" i="1"/>
  <c r="CA53" i="1"/>
  <c r="CC58" i="1"/>
  <c r="AO37" i="1"/>
  <c r="CE56" i="1"/>
  <c r="CG51" i="1"/>
  <c r="BC28" i="1"/>
  <c r="CG53" i="1"/>
  <c r="BX57" i="1"/>
  <c r="BX53" i="1"/>
  <c r="BX49" i="1"/>
  <c r="BX55" i="1"/>
  <c r="BX51" i="1"/>
  <c r="BX58" i="1"/>
  <c r="BX54" i="1"/>
  <c r="BX50" i="1"/>
  <c r="BX48" i="1"/>
  <c r="BX59" i="1"/>
  <c r="BX64" i="1"/>
  <c r="BX65" i="1" s="1"/>
  <c r="BX60" i="1"/>
  <c r="BX52" i="1"/>
  <c r="BX56" i="1"/>
  <c r="CG50" i="1"/>
  <c r="BC27" i="1"/>
  <c r="BX63" i="1"/>
  <c r="CE52" i="1"/>
  <c r="CG56" i="1"/>
  <c r="BC21" i="1"/>
  <c r="BY61" i="1"/>
  <c r="BY53" i="1"/>
  <c r="BY62" i="1"/>
  <c r="BY63" i="1"/>
  <c r="BY59" i="1"/>
  <c r="BY64" i="1"/>
  <c r="BY65" i="1" s="1"/>
  <c r="BY60" i="1"/>
  <c r="BY56" i="1"/>
  <c r="BX62" i="1"/>
  <c r="CE50" i="1"/>
  <c r="CC57" i="1"/>
  <c r="BC26" i="1"/>
  <c r="CG61" i="1"/>
  <c r="CG49" i="1"/>
  <c r="CG64" i="1"/>
  <c r="CG65" i="1" s="1"/>
  <c r="CG62" i="1"/>
  <c r="CG63" i="1"/>
  <c r="CG59" i="1"/>
  <c r="CG60" i="1"/>
  <c r="CG52" i="1"/>
  <c r="CA48" i="1"/>
  <c r="CH58" i="1"/>
  <c r="CH54" i="1"/>
  <c r="CH50" i="1"/>
  <c r="CH48" i="1"/>
  <c r="CH56" i="1"/>
  <c r="CH52" i="1"/>
  <c r="CH55" i="1"/>
  <c r="CH51" i="1"/>
  <c r="CH64" i="1"/>
  <c r="CH65" i="1" s="1"/>
  <c r="CH53" i="1"/>
  <c r="CH49" i="1"/>
  <c r="CH61" i="1"/>
  <c r="CH57" i="1"/>
  <c r="CH60" i="1"/>
  <c r="BC29" i="1"/>
  <c r="BD18" i="1" s="1"/>
  <c r="CG48" i="1"/>
  <c r="BB48" i="1"/>
  <c r="BC48" i="1" s="1"/>
  <c r="BC22" i="1"/>
  <c r="CA52" i="1"/>
  <c r="CC49" i="1"/>
  <c r="CG58" i="1"/>
  <c r="CE48" i="1"/>
  <c r="CB55" i="1"/>
  <c r="CB51" i="1"/>
  <c r="CB53" i="1"/>
  <c r="CB49" i="1"/>
  <c r="CB64" i="1"/>
  <c r="CB65" i="1" s="1"/>
  <c r="CB56" i="1"/>
  <c r="CB52" i="1"/>
  <c r="CB61" i="1"/>
  <c r="CB57" i="1"/>
  <c r="CB50" i="1"/>
  <c r="CB62" i="1"/>
  <c r="CB54" i="1"/>
  <c r="CB58" i="1"/>
  <c r="CB48" i="1"/>
  <c r="CE55" i="1"/>
  <c r="BY48" i="1"/>
  <c r="CB60" i="1"/>
  <c r="AC15" i="1"/>
  <c r="AC14" i="1"/>
  <c r="AC13" i="1"/>
  <c r="AC12" i="1"/>
  <c r="CA56" i="1"/>
  <c r="CB63" i="1"/>
  <c r="CE53" i="1"/>
  <c r="BS69" i="1" l="1"/>
  <c r="BT69" i="1" s="1"/>
  <c r="BS80" i="1"/>
  <c r="BT80" i="1" s="1"/>
  <c r="BD22" i="1"/>
  <c r="BD21" i="1"/>
  <c r="BS74" i="1"/>
  <c r="BT74" i="1" s="1"/>
  <c r="BS82" i="1"/>
  <c r="BT82" i="1" s="1"/>
  <c r="AC16" i="1"/>
  <c r="BS78" i="1"/>
  <c r="BT78" i="1" s="1"/>
  <c r="BD25" i="1"/>
  <c r="BD29" i="1"/>
  <c r="BD27" i="1"/>
  <c r="BS75" i="1"/>
  <c r="BT75" i="1" s="1"/>
  <c r="BS77" i="1"/>
  <c r="BT77" i="1" s="1"/>
  <c r="BS79" i="1"/>
  <c r="BT79" i="1" s="1"/>
  <c r="BD28" i="1"/>
  <c r="BC30" i="1"/>
  <c r="BD23" i="1"/>
  <c r="AD15" i="1"/>
  <c r="AD14" i="1"/>
  <c r="AD13" i="1"/>
  <c r="AD12" i="1"/>
  <c r="BS73" i="1"/>
  <c r="BT73" i="1" s="1"/>
  <c r="BS72" i="1"/>
  <c r="BT72" i="1" s="1"/>
  <c r="BD20" i="1"/>
  <c r="BS71" i="1"/>
  <c r="BT71" i="1" s="1"/>
  <c r="BS83" i="1"/>
  <c r="BT83" i="1" s="1"/>
  <c r="BS81" i="1"/>
  <c r="BT81" i="1" s="1"/>
  <c r="BS76" i="1"/>
  <c r="BT76" i="1" s="1"/>
  <c r="BA37" i="1"/>
  <c r="BD19" i="1"/>
  <c r="BD24" i="1"/>
  <c r="BS84" i="1"/>
  <c r="BT84" i="1" s="1"/>
  <c r="BD26" i="1"/>
  <c r="BS70" i="1"/>
  <c r="BT70" i="1" s="1"/>
  <c r="BT85" i="1" l="1"/>
  <c r="AE14" i="1"/>
  <c r="AE13" i="1"/>
  <c r="AE12" i="1"/>
  <c r="AE15" i="1"/>
  <c r="BS85" i="1"/>
  <c r="AD16" i="1"/>
  <c r="BE19" i="1"/>
  <c r="BE24" i="1"/>
  <c r="BE18" i="1"/>
  <c r="BE20" i="1"/>
  <c r="BE28" i="1"/>
  <c r="BE27" i="1"/>
  <c r="BE26" i="1"/>
  <c r="BE23" i="1"/>
  <c r="BE29" i="1"/>
  <c r="BE25" i="1"/>
  <c r="BE22" i="1"/>
  <c r="BE21" i="1"/>
  <c r="BD30" i="1"/>
  <c r="BE30" i="1" l="1"/>
  <c r="BF19" i="1"/>
  <c r="BF24" i="1"/>
  <c r="BF27" i="1"/>
  <c r="BF21" i="1"/>
  <c r="BF23" i="1"/>
  <c r="BF18" i="1"/>
  <c r="BF20" i="1"/>
  <c r="BF29" i="1"/>
  <c r="BF28" i="1"/>
  <c r="BF25" i="1"/>
  <c r="BF22" i="1"/>
  <c r="BF26" i="1"/>
  <c r="AE16" i="1"/>
  <c r="AF13" i="1"/>
  <c r="AF12" i="1"/>
  <c r="AF15" i="1"/>
  <c r="AF14" i="1"/>
  <c r="BF30" i="1" l="1"/>
  <c r="AG13" i="1"/>
  <c r="AI13" i="1" s="1"/>
  <c r="AR26" i="1" s="1"/>
  <c r="AG12" i="1"/>
  <c r="AG14" i="1"/>
  <c r="AG15" i="1"/>
  <c r="AI15" i="1" s="1"/>
  <c r="AR28" i="1" s="1"/>
  <c r="AS28" i="1" s="1"/>
  <c r="AO47" i="1" s="1"/>
  <c r="BA47" i="1" s="1"/>
  <c r="AF16" i="1"/>
  <c r="BG24" i="1"/>
  <c r="BG19" i="1"/>
  <c r="BG28" i="1"/>
  <c r="BG29" i="1"/>
  <c r="BG27" i="1"/>
  <c r="BG25" i="1"/>
  <c r="BG23" i="1"/>
  <c r="BG21" i="1"/>
  <c r="BG26" i="1"/>
  <c r="BG18" i="1"/>
  <c r="BG20" i="1"/>
  <c r="BG22" i="1"/>
  <c r="BG30" i="1" l="1"/>
  <c r="AS26" i="1"/>
  <c r="BH19" i="1"/>
  <c r="BH24" i="1"/>
  <c r="BH23" i="1"/>
  <c r="BH25" i="1"/>
  <c r="BH29" i="1"/>
  <c r="BH22" i="1"/>
  <c r="BH28" i="1"/>
  <c r="BH21" i="1"/>
  <c r="BH26" i="1"/>
  <c r="BH18" i="1"/>
  <c r="BH20" i="1"/>
  <c r="BH27" i="1"/>
  <c r="AG16" i="1"/>
  <c r="AI12" i="1"/>
  <c r="BH30" i="1" l="1"/>
  <c r="AI16" i="1"/>
  <c r="AR27" i="1"/>
  <c r="BI19" i="1"/>
  <c r="BI24" i="1"/>
  <c r="BI20" i="1"/>
  <c r="BI25" i="1"/>
  <c r="BI22" i="1"/>
  <c r="BI18" i="1"/>
  <c r="BI21" i="1"/>
  <c r="BI26" i="1"/>
  <c r="BI27" i="1"/>
  <c r="BI29" i="1"/>
  <c r="BI23" i="1"/>
  <c r="BI28" i="1"/>
  <c r="AO45" i="1"/>
  <c r="AS27" i="1" l="1"/>
  <c r="AR30" i="1"/>
  <c r="BJ19" i="1"/>
  <c r="BK19" i="1" s="1"/>
  <c r="BB38" i="1" s="1"/>
  <c r="BC38" i="1" s="1"/>
  <c r="BJ24" i="1"/>
  <c r="BK24" i="1" s="1"/>
  <c r="BB43" i="1" s="1"/>
  <c r="BC43" i="1" s="1"/>
  <c r="BJ25" i="1"/>
  <c r="BK25" i="1" s="1"/>
  <c r="BB44" i="1" s="1"/>
  <c r="BC44" i="1" s="1"/>
  <c r="BJ22" i="1"/>
  <c r="BK22" i="1" s="1"/>
  <c r="BB41" i="1" s="1"/>
  <c r="BC41" i="1" s="1"/>
  <c r="BJ29" i="1"/>
  <c r="BJ26" i="1"/>
  <c r="BK26" i="1" s="1"/>
  <c r="BB45" i="1" s="1"/>
  <c r="BJ28" i="1"/>
  <c r="BK28" i="1" s="1"/>
  <c r="BB47" i="1" s="1"/>
  <c r="BC47" i="1" s="1"/>
  <c r="BJ21" i="1"/>
  <c r="BK21" i="1" s="1"/>
  <c r="BB40" i="1" s="1"/>
  <c r="BC40" i="1" s="1"/>
  <c r="BJ27" i="1"/>
  <c r="BK27" i="1" s="1"/>
  <c r="BB46" i="1" s="1"/>
  <c r="BJ23" i="1"/>
  <c r="BK23" i="1" s="1"/>
  <c r="BB42" i="1" s="1"/>
  <c r="BC42" i="1" s="1"/>
  <c r="BJ18" i="1"/>
  <c r="BJ20" i="1"/>
  <c r="BK20" i="1" s="1"/>
  <c r="BB39" i="1" s="1"/>
  <c r="BC39" i="1" s="1"/>
  <c r="BI30" i="1"/>
  <c r="BA45" i="1"/>
  <c r="BC45" i="1" l="1"/>
  <c r="BJ30" i="1"/>
  <c r="BK18" i="1"/>
  <c r="AO46" i="1"/>
  <c r="AS30" i="1"/>
  <c r="BA46" i="1" l="1"/>
  <c r="AO49" i="1"/>
  <c r="BK30" i="1"/>
  <c r="BB37" i="1"/>
  <c r="BB49" i="1" l="1"/>
  <c r="BC37" i="1"/>
  <c r="BC46" i="1"/>
  <c r="BA49" i="1"/>
  <c r="BC49" i="1" l="1"/>
</calcChain>
</file>

<file path=xl/sharedStrings.xml><?xml version="1.0" encoding="utf-8"?>
<sst xmlns="http://schemas.openxmlformats.org/spreadsheetml/2006/main" count="878" uniqueCount="167">
  <si>
    <t>통합리소스</t>
    <phoneticPr fontId="1" type="noConversion"/>
  </si>
  <si>
    <t>활동원가 배부(타부서 업무지원)</t>
    <phoneticPr fontId="1" type="noConversion"/>
  </si>
  <si>
    <t>원가대상배부</t>
    <phoneticPr fontId="1" type="noConversion"/>
  </si>
  <si>
    <t>clinic_allocation_rules_account</t>
  </si>
  <si>
    <t>리소스</t>
    <phoneticPr fontId="1" type="noConversion"/>
  </si>
  <si>
    <t>구분</t>
    <phoneticPr fontId="1" type="noConversion"/>
  </si>
  <si>
    <t>회계기간</t>
    <phoneticPr fontId="1" type="noConversion"/>
  </si>
  <si>
    <t>기간유형</t>
    <phoneticPr fontId="1" type="noConversion"/>
  </si>
  <si>
    <t>기간명</t>
    <phoneticPr fontId="1" type="noConversion"/>
  </si>
  <si>
    <t>부서</t>
    <phoneticPr fontId="1" type="noConversion"/>
  </si>
  <si>
    <t>계정분류</t>
    <phoneticPr fontId="1" type="noConversion"/>
  </si>
  <si>
    <t>계정</t>
    <phoneticPr fontId="1" type="noConversion"/>
  </si>
  <si>
    <t>금액</t>
    <phoneticPr fontId="1" type="noConversion"/>
  </si>
  <si>
    <t>배부방법</t>
    <phoneticPr fontId="1" type="noConversion"/>
  </si>
  <si>
    <t>드라이버</t>
    <phoneticPr fontId="1" type="noConversion"/>
  </si>
  <si>
    <t>배부관점</t>
    <phoneticPr fontId="1" type="noConversion"/>
  </si>
  <si>
    <t>배부범위</t>
    <phoneticPr fontId="1" type="noConversion"/>
  </si>
  <si>
    <t>직종</t>
    <phoneticPr fontId="1" type="noConversion"/>
  </si>
  <si>
    <t>활동</t>
    <phoneticPr fontId="1" type="noConversion"/>
  </si>
  <si>
    <t>활동원가</t>
    <phoneticPr fontId="1" type="noConversion"/>
  </si>
  <si>
    <t>활동/계정</t>
    <phoneticPr fontId="1" type="noConversion"/>
  </si>
  <si>
    <t>총활동원가</t>
    <phoneticPr fontId="1" type="noConversion"/>
  </si>
  <si>
    <t>전표</t>
    <phoneticPr fontId="1" type="noConversion"/>
  </si>
  <si>
    <t>행정팀</t>
  </si>
  <si>
    <t>의료비용</t>
  </si>
  <si>
    <t>재료비</t>
  </si>
  <si>
    <t>04.원가대상 배부</t>
    <phoneticPr fontId="1" type="noConversion"/>
  </si>
  <si>
    <t>수익비(재료)</t>
  </si>
  <si>
    <t>진료과</t>
    <phoneticPr fontId="1" type="noConversion"/>
  </si>
  <si>
    <t>정형외과</t>
    <phoneticPr fontId="1" type="noConversion"/>
  </si>
  <si>
    <t>관리비</t>
  </si>
  <si>
    <t>01.계정원가 배부</t>
    <phoneticPr fontId="1" type="noConversion"/>
  </si>
  <si>
    <t>부서별인원수</t>
  </si>
  <si>
    <t>전체</t>
    <phoneticPr fontId="1" type="noConversion"/>
  </si>
  <si>
    <t>인건비</t>
    <phoneticPr fontId="1" type="noConversion"/>
  </si>
  <si>
    <t>외래검사실</t>
  </si>
  <si>
    <t>인건비</t>
  </si>
  <si>
    <t>02.활동원가 전환</t>
    <phoneticPr fontId="1" type="noConversion"/>
  </si>
  <si>
    <t>활동비율</t>
  </si>
  <si>
    <t>활동</t>
  </si>
  <si>
    <t>전체활동</t>
  </si>
  <si>
    <t>03.활동원가 타부서 배부</t>
  </si>
  <si>
    <t>부서</t>
  </si>
  <si>
    <t>병원</t>
  </si>
  <si>
    <t>정형1</t>
    <phoneticPr fontId="1" type="noConversion"/>
  </si>
  <si>
    <t>외래활동</t>
  </si>
  <si>
    <t>외래환자수</t>
  </si>
  <si>
    <t>시행과</t>
    <phoneticPr fontId="1" type="noConversion"/>
  </si>
  <si>
    <t>활동원가 타부서 배부</t>
    <phoneticPr fontId="1" type="noConversion"/>
  </si>
  <si>
    <t>상각비</t>
  </si>
  <si>
    <t>수익비(행위)</t>
  </si>
  <si>
    <t>시행과</t>
  </si>
  <si>
    <t>검사실</t>
    <phoneticPr fontId="1" type="noConversion"/>
  </si>
  <si>
    <t>원무팀</t>
  </si>
  <si>
    <t>검사활동</t>
  </si>
  <si>
    <t>검사환자수</t>
  </si>
  <si>
    <t>외래검사실</t>
    <phoneticPr fontId="1" type="noConversion"/>
  </si>
  <si>
    <t>정형1</t>
  </si>
  <si>
    <t>정형2</t>
    <phoneticPr fontId="1" type="noConversion"/>
  </si>
  <si>
    <t>수익비(전체)</t>
  </si>
  <si>
    <t>계정원가 배부 과정</t>
    <phoneticPr fontId="1" type="noConversion"/>
  </si>
  <si>
    <t>정형2</t>
  </si>
  <si>
    <t>시행의사</t>
    <phoneticPr fontId="1" type="noConversion"/>
  </si>
  <si>
    <t>인원수</t>
    <phoneticPr fontId="1" type="noConversion"/>
  </si>
  <si>
    <t>인원수비율</t>
    <phoneticPr fontId="1" type="noConversion"/>
  </si>
  <si>
    <t>원가배부1</t>
    <phoneticPr fontId="1" type="noConversion"/>
  </si>
  <si>
    <t>원가배부2</t>
    <phoneticPr fontId="1" type="noConversion"/>
  </si>
  <si>
    <t>원가배부3</t>
    <phoneticPr fontId="1" type="noConversion"/>
  </si>
  <si>
    <t>원가배부4</t>
    <phoneticPr fontId="1" type="noConversion"/>
  </si>
  <si>
    <t>원가배부5</t>
    <phoneticPr fontId="1" type="noConversion"/>
  </si>
  <si>
    <t>원가배부6</t>
    <phoneticPr fontId="1" type="noConversion"/>
  </si>
  <si>
    <t>원가배부7</t>
    <phoneticPr fontId="1" type="noConversion"/>
  </si>
  <si>
    <t>원가배부8</t>
    <phoneticPr fontId="1" type="noConversion"/>
  </si>
  <si>
    <t>계정원가(최종)</t>
    <phoneticPr fontId="1" type="noConversion"/>
  </si>
  <si>
    <t>정형3</t>
  </si>
  <si>
    <t>정형3</t>
    <phoneticPr fontId="1" type="noConversion"/>
  </si>
  <si>
    <t>정형4</t>
  </si>
  <si>
    <t>정형외과</t>
  </si>
  <si>
    <t>정형4</t>
    <phoneticPr fontId="1" type="noConversion"/>
  </si>
  <si>
    <t>데이터</t>
    <phoneticPr fontId="4" type="noConversion"/>
  </si>
  <si>
    <t>원무팀</t>
    <phoneticPr fontId="1" type="noConversion"/>
  </si>
  <si>
    <t>총합계</t>
  </si>
  <si>
    <t>배부과정</t>
    <phoneticPr fontId="1" type="noConversion"/>
  </si>
  <si>
    <t>활동비율</t>
    <phoneticPr fontId="1" type="noConversion"/>
  </si>
  <si>
    <t>인건비(합계)</t>
    <phoneticPr fontId="1" type="noConversion"/>
  </si>
  <si>
    <t>인건비(배부)</t>
    <phoneticPr fontId="1" type="noConversion"/>
  </si>
  <si>
    <t>FTE인원수</t>
    <phoneticPr fontId="1" type="noConversion"/>
  </si>
  <si>
    <t>FTE인원수비율</t>
    <phoneticPr fontId="1" type="noConversion"/>
  </si>
  <si>
    <t>활동원가(최종)</t>
    <phoneticPr fontId="1" type="noConversion"/>
  </si>
  <si>
    <t>행정활동</t>
  </si>
  <si>
    <t>의사직</t>
  </si>
  <si>
    <t>행정팀</t>
    <phoneticPr fontId="1" type="noConversion"/>
  </si>
  <si>
    <t>배부과정1: 배부범위별 배부범위 드라이버 설정</t>
    <phoneticPr fontId="1" type="noConversion"/>
  </si>
  <si>
    <t>드라이버</t>
  </si>
  <si>
    <t>배부범위별 배부범위 드라이버 설정</t>
    <phoneticPr fontId="1" type="noConversion"/>
  </si>
  <si>
    <t>간호직</t>
  </si>
  <si>
    <t>처방의사</t>
    <phoneticPr fontId="1" type="noConversion"/>
  </si>
  <si>
    <t>수익</t>
    <phoneticPr fontId="1" type="noConversion"/>
  </si>
  <si>
    <t>수익비(전체)</t>
    <phoneticPr fontId="1" type="noConversion"/>
  </si>
  <si>
    <t>수익비(재료)</t>
    <phoneticPr fontId="1" type="noConversion"/>
  </si>
  <si>
    <t>수익비(행위)</t>
    <phoneticPr fontId="1" type="noConversion"/>
  </si>
  <si>
    <t>검사환자수</t>
    <phoneticPr fontId="1" type="noConversion"/>
  </si>
  <si>
    <t>외래환자수</t>
    <phoneticPr fontId="1" type="noConversion"/>
  </si>
  <si>
    <t>정형1_외래활동</t>
  </si>
  <si>
    <t>정형1_검사활동</t>
  </si>
  <si>
    <t>정형2_외래활동</t>
  </si>
  <si>
    <t>정형2_검사활동</t>
  </si>
  <si>
    <t>정형3_외래활동</t>
  </si>
  <si>
    <t>정형3_검사활동</t>
  </si>
  <si>
    <t>정형4_외래활동</t>
  </si>
  <si>
    <t>정형4_검사활동</t>
  </si>
  <si>
    <t>정형외과_외래활동</t>
  </si>
  <si>
    <t>외래검사실_검사활동</t>
  </si>
  <si>
    <t>원무팀_행정활동</t>
  </si>
  <si>
    <t>행정팀_재료비</t>
  </si>
  <si>
    <t>행정팀_상각비</t>
  </si>
  <si>
    <t>원무팀_관리비</t>
  </si>
  <si>
    <t>행정직</t>
  </si>
  <si>
    <t>총합계</t>
    <phoneticPr fontId="1" type="noConversion"/>
  </si>
  <si>
    <t>활동배부</t>
    <phoneticPr fontId="1" type="noConversion"/>
  </si>
  <si>
    <t>시행의사</t>
  </si>
  <si>
    <t>배부과정2: 드라이버 비율에 따라 원가 배부</t>
    <phoneticPr fontId="1" type="noConversion"/>
  </si>
  <si>
    <t>드라이버 비율에 따라 원가 배부</t>
    <phoneticPr fontId="1" type="noConversion"/>
  </si>
  <si>
    <t>03.활동원가 타부서 배부</t>
    <phoneticPr fontId="1" type="noConversion"/>
  </si>
  <si>
    <t>검증</t>
    <phoneticPr fontId="1" type="noConversion"/>
  </si>
  <si>
    <t>원가</t>
    <phoneticPr fontId="1" type="noConversion"/>
  </si>
  <si>
    <t>손익</t>
    <phoneticPr fontId="1" type="noConversion"/>
  </si>
  <si>
    <t>CALCULATION-원가배부기능</t>
    <phoneticPr fontId="4" type="noConversion"/>
  </si>
  <si>
    <t>01.계정원가 배부</t>
  </si>
  <si>
    <t>리소스 선택</t>
    <phoneticPr fontId="1" type="noConversion"/>
  </si>
  <si>
    <t>활동원가 배부 과정</t>
    <phoneticPr fontId="1" type="noConversion"/>
  </si>
  <si>
    <t>계정원가배부</t>
    <phoneticPr fontId="1" type="noConversion"/>
  </si>
  <si>
    <t>clinic_activity_ratio</t>
  </si>
  <si>
    <t>clinic_allocation_rules_activity</t>
  </si>
  <si>
    <t>활동원가배부</t>
    <phoneticPr fontId="1" type="noConversion"/>
  </si>
  <si>
    <t>clinic_driver_data</t>
  </si>
  <si>
    <t>생성된 드라이버 저장소</t>
    <phoneticPr fontId="1" type="noConversion"/>
  </si>
  <si>
    <t>clinic_revenue</t>
  </si>
  <si>
    <t>clinic_costing_process</t>
    <phoneticPr fontId="1" type="noConversion"/>
  </si>
  <si>
    <t>…</t>
    <phoneticPr fontId="1" type="noConversion"/>
  </si>
  <si>
    <t>clinic_costing_result</t>
    <phoneticPr fontId="1" type="noConversion"/>
  </si>
  <si>
    <t>원가계산결과</t>
    <phoneticPr fontId="1" type="noConversion"/>
  </si>
  <si>
    <t>원가계산 연산과정</t>
    <phoneticPr fontId="1" type="noConversion"/>
  </si>
  <si>
    <t>clinic_costing_report</t>
    <phoneticPr fontId="1" type="noConversion"/>
  </si>
  <si>
    <t>원가계산 검증보고서</t>
    <phoneticPr fontId="1" type="noConversion"/>
  </si>
  <si>
    <t>원가계산 과정(flow)</t>
    <phoneticPr fontId="1" type="noConversion"/>
  </si>
  <si>
    <t>1-1.리소스 통합</t>
    <phoneticPr fontId="1" type="noConversion"/>
  </si>
  <si>
    <t>1-2.계정원가 배부</t>
    <phoneticPr fontId="1" type="noConversion"/>
  </si>
  <si>
    <t>1-3.활동원가 전환</t>
    <phoneticPr fontId="1" type="noConversion"/>
  </si>
  <si>
    <t>1-4.활동원가 타부서 배부</t>
    <phoneticPr fontId="1" type="noConversion"/>
  </si>
  <si>
    <t>1-5.원가대상 배부</t>
    <phoneticPr fontId="1" type="noConversion"/>
  </si>
  <si>
    <t>배부 결과(clinic_costing_result)</t>
    <phoneticPr fontId="1" type="noConversion"/>
  </si>
  <si>
    <t xml:space="preserve"> - 수익 테이블을 원본으로 clinic_costing_result 테이블 기간, 진료과, 시행과, 처방의사, 시행의사, 수익 데이터 입력</t>
    <phoneticPr fontId="1" type="noConversion"/>
  </si>
  <si>
    <t>clinic_allocation_rules_account</t>
    <phoneticPr fontId="1" type="noConversion"/>
  </si>
  <si>
    <t xml:space="preserve"> - clinic_allocation_rules_account 테이블에 통합되어 있음. </t>
    <phoneticPr fontId="1" type="noConversion"/>
  </si>
  <si>
    <t>원가배부 기준</t>
    <phoneticPr fontId="1" type="noConversion"/>
  </si>
  <si>
    <t>2-1. 원가계산 전후 금액은 동일해야해</t>
    <phoneticPr fontId="1" type="noConversion"/>
  </si>
  <si>
    <t>2-2. 상호배부가 이뤄지니 효율적으로 매트릭스를 활용해서 배부되도록 로직을 만들어줘</t>
    <phoneticPr fontId="1" type="noConversion"/>
  </si>
  <si>
    <t xml:space="preserve"> - 데이터가 변경되는 경우를 고려해서 로직을 구현</t>
    <phoneticPr fontId="1" type="noConversion"/>
  </si>
  <si>
    <t xml:space="preserve"> - 100을 배부했으면 결과도 100이 나와야해, 계산과정에서 손실되거나 중복되면 안돼</t>
    <phoneticPr fontId="1" type="noConversion"/>
  </si>
  <si>
    <t>작업과정 기록</t>
    <phoneticPr fontId="1" type="noConversion"/>
  </si>
  <si>
    <t>3-1. 위 항목 외 추가 기능이 추가되거나, 논리가 추가되면 3번 항목에 이어서 작성할 것</t>
    <phoneticPr fontId="1" type="noConversion"/>
  </si>
  <si>
    <t>3-2. 우측 원가계산 과정을 보면서 추가되야하는 테이블이 있으면 아래 데이터 영역에 추가할 것</t>
    <phoneticPr fontId="1" type="noConversion"/>
  </si>
  <si>
    <t xml:space="preserve"> - 8번 이후로 테이블, 테이블명, 기능에 대한 설명 작성</t>
    <phoneticPr fontId="1" type="noConversion"/>
  </si>
  <si>
    <t>테이블</t>
    <phoneticPr fontId="4" type="noConversion"/>
  </si>
  <si>
    <t>테이블명</t>
    <phoneticPr fontId="4" type="noConversion"/>
  </si>
  <si>
    <t>주요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</si>
</sst>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나눔스퀘어"/>
      <family val="2"/>
      <charset val="129"/>
    </font>
    <font>
      <sz val="8"/>
      <name val="나눔스퀘어"/>
      <family val="2"/>
      <charset val="129"/>
    </font>
    <font>
      <b/>
      <sz val="11"/>
      <color theme="1"/>
      <name val="나눔스퀘어"/>
      <family val="3"/>
      <charset val="129"/>
    </font>
    <font>
      <b/>
      <sz val="11"/>
      <color rgb="FF888888"/>
      <name val="나눔스퀘어"/>
      <family val="3"/>
      <charset val="129"/>
    </font>
    <font>
      <sz val="8"/>
      <name val="돋움"/>
      <family val="3"/>
      <charset val="129"/>
    </font>
    <font>
      <sz val="11"/>
      <color rgb="FF888888"/>
      <name val="나눔스퀘어"/>
      <family val="3"/>
      <charset val="129"/>
    </font>
    <font>
      <sz val="11"/>
      <color theme="1"/>
      <name val="나눔스퀘어"/>
      <family val="3"/>
      <charset val="129"/>
    </font>
    <font>
      <b/>
      <sz val="11"/>
      <color rgb="FFCC3333"/>
      <name val="나눔스퀘어"/>
      <family val="3"/>
      <charset val="129"/>
    </font>
    <font>
      <b/>
      <sz val="11"/>
      <color rgb="FF333333"/>
      <name val="나눔스퀘어"/>
      <family val="3"/>
      <charset val="129"/>
    </font>
    <font>
      <sz val="11"/>
      <color rgb="FF666666"/>
      <name val="나눔스퀘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EEEEE"/>
        <bgColor rgb="FFF5F5F5"/>
      </patternFill>
    </fill>
    <fill>
      <patternFill patternType="solid">
        <fgColor rgb="FFFFF0F0"/>
        <bgColor rgb="FFFFF5F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rgb="FFFAFAFA"/>
      </patternFill>
    </fill>
    <fill>
      <patternFill patternType="solid">
        <fgColor theme="7" tint="0.79998168889431442"/>
        <bgColor rgb="FFFFF5F5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4" borderId="0" xfId="0" applyFont="1" applyFill="1" applyAlignment="1"/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0" fillId="0" borderId="0" xfId="0" applyAlignmen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38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>
      <alignment vertical="center"/>
    </xf>
    <xf numFmtId="38" fontId="0" fillId="2" borderId="1" xfId="0" applyNumberFormat="1" applyFill="1" applyBorder="1">
      <alignment vertical="center"/>
    </xf>
    <xf numFmtId="0" fontId="5" fillId="3" borderId="0" xfId="0" applyFont="1" applyFill="1" applyAlignment="1">
      <alignment horizontal="center" vertical="center"/>
    </xf>
    <xf numFmtId="0" fontId="6" fillId="7" borderId="0" xfId="0" applyFont="1" applyFill="1" applyAlignment="1"/>
    <xf numFmtId="0" fontId="7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38" fontId="2" fillId="0" borderId="1" xfId="0" applyNumberFormat="1" applyFont="1" applyBorder="1">
      <alignment vertical="center"/>
    </xf>
    <xf numFmtId="0" fontId="0" fillId="5" borderId="1" xfId="0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D360-4D3A-4856-A3C3-B9506FA39F76}">
  <dimension ref="A1:CK85"/>
  <sheetViews>
    <sheetView tabSelected="1" zoomScale="70" zoomScaleNormal="70" workbookViewId="0">
      <selection activeCell="C29" sqref="C29"/>
    </sheetView>
  </sheetViews>
  <sheetFormatPr defaultRowHeight="14.4" x14ac:dyDescent="0.3"/>
  <cols>
    <col min="1" max="2" width="3.90625" customWidth="1"/>
    <col min="3" max="3" width="31" bestFit="1" customWidth="1"/>
    <col min="4" max="4" width="22" bestFit="1" customWidth="1"/>
    <col min="5" max="5" width="16" customWidth="1"/>
    <col min="9" max="9" width="5.08984375" style="1" customWidth="1"/>
    <col min="10" max="10" width="7.6328125" customWidth="1"/>
    <col min="11" max="12" width="7.7265625" bestFit="1" customWidth="1"/>
    <col min="13" max="13" width="6.1796875" bestFit="1" customWidth="1"/>
    <col min="14" max="14" width="9.26953125" bestFit="1" customWidth="1"/>
    <col min="15" max="15" width="7.7265625" bestFit="1" customWidth="1"/>
    <col min="16" max="16" width="6.1796875" bestFit="1" customWidth="1"/>
    <col min="17" max="17" width="10.6328125" bestFit="1" customWidth="1"/>
    <col min="18" max="18" width="14.08984375" bestFit="1" customWidth="1"/>
    <col min="19" max="19" width="10.90625" bestFit="1" customWidth="1"/>
    <col min="20" max="21" width="7.7265625" bestFit="1" customWidth="1"/>
    <col min="23" max="23" width="5.08984375" style="1" customWidth="1"/>
    <col min="24" max="24" width="16.81640625" bestFit="1" customWidth="1"/>
    <col min="25" max="25" width="6.26953125" bestFit="1" customWidth="1"/>
    <col min="26" max="26" width="9.54296875" bestFit="1" customWidth="1"/>
    <col min="27" max="28" width="10.90625" bestFit="1" customWidth="1"/>
    <col min="29" max="29" width="14.453125" bestFit="1" customWidth="1"/>
    <col min="30" max="30" width="11.08984375" bestFit="1" customWidth="1"/>
    <col min="31" max="34" width="9" bestFit="1" customWidth="1"/>
    <col min="35" max="35" width="12.26953125" bestFit="1" customWidth="1"/>
    <col min="37" max="37" width="5.08984375" style="1" customWidth="1"/>
    <col min="38" max="38" width="17" bestFit="1" customWidth="1"/>
    <col min="39" max="39" width="9.26953125" bestFit="1" customWidth="1"/>
    <col min="40" max="40" width="7.7265625" bestFit="1" customWidth="1"/>
    <col min="41" max="41" width="12.26953125" bestFit="1" customWidth="1"/>
    <col min="42" max="42" width="19.7265625" bestFit="1" customWidth="1"/>
    <col min="43" max="43" width="14.08984375" bestFit="1" customWidth="1"/>
    <col min="44" max="45" width="12.26953125" bestFit="1" customWidth="1"/>
    <col min="46" max="46" width="7.7265625" bestFit="1" customWidth="1"/>
    <col min="47" max="47" width="8.81640625" customWidth="1"/>
    <col min="49" max="49" width="5.08984375" style="1" customWidth="1"/>
    <col min="50" max="50" width="9.54296875" bestFit="1" customWidth="1"/>
    <col min="51" max="51" width="7.81640625" bestFit="1" customWidth="1"/>
    <col min="52" max="52" width="12.453125" bestFit="1" customWidth="1"/>
    <col min="53" max="53" width="12.26953125" bestFit="1" customWidth="1"/>
    <col min="54" max="54" width="19.7265625" bestFit="1" customWidth="1"/>
    <col min="55" max="55" width="12.26953125" bestFit="1" customWidth="1"/>
    <col min="56" max="56" width="14.08984375" bestFit="1" customWidth="1"/>
    <col min="57" max="57" width="10.36328125" bestFit="1" customWidth="1"/>
    <col min="58" max="58" width="8.81640625" bestFit="1" customWidth="1"/>
    <col min="59" max="59" width="9.26953125" customWidth="1"/>
    <col min="60" max="62" width="8.81640625" bestFit="1" customWidth="1"/>
    <col min="63" max="63" width="12" bestFit="1" customWidth="1"/>
    <col min="64" max="64" width="12.26953125" bestFit="1" customWidth="1"/>
    <col min="65" max="65" width="5.08984375" style="1" customWidth="1"/>
    <col min="66" max="67" width="9.26953125" bestFit="1" customWidth="1"/>
    <col min="68" max="68" width="10.6328125" bestFit="1" customWidth="1"/>
    <col min="69" max="69" width="14.08984375" bestFit="1" customWidth="1"/>
    <col min="70" max="71" width="11.6328125" bestFit="1" customWidth="1"/>
    <col min="72" max="72" width="11.36328125" bestFit="1" customWidth="1"/>
    <col min="73" max="73" width="10.54296875" bestFit="1" customWidth="1"/>
    <col min="74" max="75" width="9.36328125" bestFit="1" customWidth="1"/>
    <col min="76" max="76" width="15.1796875" customWidth="1"/>
    <col min="77" max="83" width="13" bestFit="1" customWidth="1"/>
    <col min="84" max="84" width="15.26953125" bestFit="1" customWidth="1"/>
    <col min="85" max="85" width="16.90625" bestFit="1" customWidth="1"/>
    <col min="86" max="86" width="13.453125" bestFit="1" customWidth="1"/>
    <col min="87" max="87" width="11.81640625" bestFit="1" customWidth="1"/>
    <col min="88" max="88" width="11.81640625" customWidth="1"/>
    <col min="89" max="89" width="11.81640625" bestFit="1" customWidth="1"/>
  </cols>
  <sheetData>
    <row r="1" spans="1:72" x14ac:dyDescent="0.3">
      <c r="I1" s="1" t="s">
        <v>0</v>
      </c>
      <c r="W1" s="1" t="s">
        <v>128</v>
      </c>
      <c r="AK1" s="1" t="s">
        <v>37</v>
      </c>
      <c r="AW1" s="2" t="s">
        <v>1</v>
      </c>
      <c r="BM1" s="2" t="s">
        <v>2</v>
      </c>
    </row>
    <row r="4" spans="1:72" x14ac:dyDescent="0.3">
      <c r="A4" s="3" t="s">
        <v>127</v>
      </c>
      <c r="B4" s="4"/>
      <c r="C4" s="4"/>
      <c r="D4" s="4"/>
      <c r="E4" s="4"/>
      <c r="F4" s="4"/>
      <c r="G4" s="4"/>
    </row>
    <row r="5" spans="1:72" x14ac:dyDescent="0.3">
      <c r="A5" s="5"/>
      <c r="B5" s="6">
        <v>1</v>
      </c>
      <c r="C5" s="7" t="s">
        <v>145</v>
      </c>
      <c r="D5" s="7"/>
      <c r="E5" s="7"/>
      <c r="F5" s="7"/>
      <c r="G5" s="7"/>
      <c r="J5" s="8" t="s">
        <v>153</v>
      </c>
      <c r="K5" s="8"/>
      <c r="L5" s="8"/>
      <c r="M5" s="8"/>
      <c r="X5" t="s">
        <v>129</v>
      </c>
      <c r="AL5" t="s">
        <v>129</v>
      </c>
      <c r="AX5" t="s">
        <v>4</v>
      </c>
      <c r="BN5" t="s">
        <v>4</v>
      </c>
    </row>
    <row r="6" spans="1:72" x14ac:dyDescent="0.3">
      <c r="A6" s="5"/>
      <c r="B6" s="7"/>
      <c r="C6" s="7" t="s">
        <v>146</v>
      </c>
      <c r="D6" s="7"/>
      <c r="E6" s="7"/>
      <c r="F6" s="7"/>
      <c r="G6" s="7"/>
      <c r="J6" s="9" t="s">
        <v>5</v>
      </c>
      <c r="K6" s="10" t="s">
        <v>6</v>
      </c>
      <c r="L6" s="10" t="s">
        <v>7</v>
      </c>
      <c r="M6" s="10" t="s">
        <v>8</v>
      </c>
      <c r="N6" s="10" t="s">
        <v>9</v>
      </c>
      <c r="O6" s="10" t="s">
        <v>10</v>
      </c>
      <c r="P6" s="10" t="s">
        <v>11</v>
      </c>
      <c r="Q6" s="10" t="s">
        <v>12</v>
      </c>
      <c r="R6" s="9" t="s">
        <v>13</v>
      </c>
      <c r="S6" s="9" t="s">
        <v>14</v>
      </c>
      <c r="T6" s="9" t="s">
        <v>15</v>
      </c>
      <c r="U6" s="9" t="s">
        <v>16</v>
      </c>
      <c r="X6" s="10" t="s">
        <v>5</v>
      </c>
      <c r="Y6" s="10" t="s">
        <v>9</v>
      </c>
      <c r="Z6" s="10" t="s">
        <v>10</v>
      </c>
      <c r="AA6" s="10" t="s">
        <v>11</v>
      </c>
      <c r="AB6" s="10" t="s">
        <v>12</v>
      </c>
      <c r="AC6" s="10" t="s">
        <v>13</v>
      </c>
      <c r="AD6" s="10" t="s">
        <v>14</v>
      </c>
      <c r="AE6" s="10" t="s">
        <v>15</v>
      </c>
      <c r="AF6" s="10" t="s">
        <v>16</v>
      </c>
      <c r="AL6" s="10" t="s">
        <v>5</v>
      </c>
      <c r="AM6" s="10" t="s">
        <v>9</v>
      </c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13</v>
      </c>
      <c r="BC6" s="10" t="s">
        <v>14</v>
      </c>
      <c r="BD6" s="10" t="s">
        <v>15</v>
      </c>
      <c r="BE6" s="10" t="s">
        <v>16</v>
      </c>
      <c r="BN6" s="10" t="s">
        <v>9</v>
      </c>
      <c r="BO6" s="10" t="s">
        <v>20</v>
      </c>
      <c r="BP6" s="10" t="s">
        <v>21</v>
      </c>
      <c r="BQ6" s="10" t="s">
        <v>13</v>
      </c>
      <c r="BR6" s="10" t="s">
        <v>14</v>
      </c>
      <c r="BS6" s="10" t="s">
        <v>15</v>
      </c>
      <c r="BT6" s="10" t="s">
        <v>16</v>
      </c>
    </row>
    <row r="7" spans="1:72" x14ac:dyDescent="0.3">
      <c r="A7" s="5"/>
      <c r="B7" s="7"/>
      <c r="C7" s="7" t="s">
        <v>154</v>
      </c>
      <c r="D7" s="7"/>
      <c r="E7" s="7"/>
      <c r="F7" s="7"/>
      <c r="G7" s="7"/>
      <c r="J7" s="11" t="s">
        <v>22</v>
      </c>
      <c r="K7" s="11"/>
      <c r="L7" s="11"/>
      <c r="M7" s="11"/>
      <c r="N7" s="11" t="s">
        <v>23</v>
      </c>
      <c r="O7" s="11" t="s">
        <v>24</v>
      </c>
      <c r="P7" s="11" t="s">
        <v>25</v>
      </c>
      <c r="Q7" s="12">
        <v>52500000</v>
      </c>
      <c r="R7" s="12" t="s">
        <v>26</v>
      </c>
      <c r="S7" s="11" t="s">
        <v>27</v>
      </c>
      <c r="T7" s="11" t="s">
        <v>28</v>
      </c>
      <c r="U7" s="11" t="s">
        <v>29</v>
      </c>
      <c r="X7" s="11" t="s">
        <v>22</v>
      </c>
      <c r="Y7" s="11" t="s">
        <v>23</v>
      </c>
      <c r="Z7" s="11" t="s">
        <v>24</v>
      </c>
      <c r="AA7" s="11" t="s">
        <v>30</v>
      </c>
      <c r="AB7" s="12">
        <v>10000000</v>
      </c>
      <c r="AC7" s="12" t="s">
        <v>31</v>
      </c>
      <c r="AD7" s="11" t="s">
        <v>32</v>
      </c>
      <c r="AE7" s="11" t="s">
        <v>9</v>
      </c>
      <c r="AF7" s="11" t="s">
        <v>33</v>
      </c>
      <c r="AL7" s="11" t="s">
        <v>34</v>
      </c>
      <c r="AM7" s="11" t="s">
        <v>35</v>
      </c>
      <c r="AN7" s="11" t="s">
        <v>24</v>
      </c>
      <c r="AO7" s="11" t="s">
        <v>36</v>
      </c>
      <c r="AP7" s="12">
        <v>3500000</v>
      </c>
      <c r="AQ7" s="12" t="s">
        <v>37</v>
      </c>
      <c r="AR7" s="11" t="s">
        <v>38</v>
      </c>
      <c r="AS7" s="11" t="s">
        <v>39</v>
      </c>
      <c r="AT7" s="11" t="s">
        <v>40</v>
      </c>
      <c r="AX7" s="11" t="str">
        <f>AL48</f>
        <v>행정팀</v>
      </c>
      <c r="AY7" s="11" t="str">
        <f>AM48</f>
        <v>행정직</v>
      </c>
      <c r="AZ7" s="11" t="str">
        <f>AN48</f>
        <v>행정활동</v>
      </c>
      <c r="BA7" s="12">
        <f>AO48</f>
        <v>2500000</v>
      </c>
      <c r="BB7" s="12" t="s">
        <v>41</v>
      </c>
      <c r="BC7" s="11" t="s">
        <v>32</v>
      </c>
      <c r="BD7" s="11" t="s">
        <v>42</v>
      </c>
      <c r="BE7" s="11" t="s">
        <v>43</v>
      </c>
      <c r="BM7" s="1" t="str">
        <f>BN7&amp;"_"&amp;BO7</f>
        <v>정형1_외래활동</v>
      </c>
      <c r="BN7" s="11" t="s">
        <v>44</v>
      </c>
      <c r="BO7" s="11" t="s">
        <v>45</v>
      </c>
      <c r="BP7" s="12">
        <v>5678571.343421936</v>
      </c>
      <c r="BQ7" s="12" t="s">
        <v>26</v>
      </c>
      <c r="BR7" s="11" t="s">
        <v>46</v>
      </c>
      <c r="BS7" s="11" t="s">
        <v>47</v>
      </c>
      <c r="BT7" s="11" t="s">
        <v>29</v>
      </c>
    </row>
    <row r="8" spans="1:72" x14ac:dyDescent="0.3">
      <c r="A8" s="5"/>
      <c r="B8" s="7"/>
      <c r="C8" s="7" t="s">
        <v>147</v>
      </c>
      <c r="D8" s="7"/>
      <c r="E8" s="7"/>
      <c r="F8" s="7"/>
      <c r="G8" s="7"/>
      <c r="J8" s="11" t="s">
        <v>22</v>
      </c>
      <c r="K8" s="11"/>
      <c r="L8" s="11"/>
      <c r="M8" s="11"/>
      <c r="N8" s="11" t="s">
        <v>23</v>
      </c>
      <c r="O8" s="11" t="s">
        <v>24</v>
      </c>
      <c r="P8" s="11" t="s">
        <v>49</v>
      </c>
      <c r="Q8" s="12">
        <v>5000000</v>
      </c>
      <c r="R8" s="12" t="s">
        <v>26</v>
      </c>
      <c r="S8" s="11" t="s">
        <v>50</v>
      </c>
      <c r="T8" s="11" t="s">
        <v>51</v>
      </c>
      <c r="U8" s="11" t="s">
        <v>52</v>
      </c>
      <c r="AL8" s="11" t="s">
        <v>34</v>
      </c>
      <c r="AM8" s="11" t="s">
        <v>53</v>
      </c>
      <c r="AN8" s="11" t="s">
        <v>24</v>
      </c>
      <c r="AO8" s="11" t="s">
        <v>36</v>
      </c>
      <c r="AP8" s="12">
        <v>2500000</v>
      </c>
      <c r="AQ8" s="12" t="s">
        <v>37</v>
      </c>
      <c r="AR8" s="11" t="s">
        <v>38</v>
      </c>
      <c r="AS8" s="11" t="s">
        <v>39</v>
      </c>
      <c r="AT8" s="11" t="s">
        <v>40</v>
      </c>
      <c r="AX8" s="13"/>
      <c r="AY8" s="13"/>
      <c r="AZ8" s="13"/>
      <c r="BA8" s="13"/>
      <c r="BB8" s="13"/>
      <c r="BC8" s="13"/>
      <c r="BD8" s="13"/>
      <c r="BE8" s="13"/>
      <c r="BM8" s="1" t="str">
        <f t="shared" ref="BM8:BM20" si="0">BN8&amp;"_"&amp;BO8</f>
        <v>정형1_검사활동</v>
      </c>
      <c r="BN8" s="11" t="s">
        <v>44</v>
      </c>
      <c r="BO8" s="11" t="s">
        <v>54</v>
      </c>
      <c r="BP8" s="12">
        <v>5678571.343421936</v>
      </c>
      <c r="BQ8" s="12" t="s">
        <v>26</v>
      </c>
      <c r="BR8" s="11" t="s">
        <v>55</v>
      </c>
      <c r="BS8" s="11" t="s">
        <v>47</v>
      </c>
      <c r="BT8" s="11" t="s">
        <v>56</v>
      </c>
    </row>
    <row r="9" spans="1:72" x14ac:dyDescent="0.3">
      <c r="A9" s="5"/>
      <c r="B9" s="7"/>
      <c r="C9" s="7" t="s">
        <v>148</v>
      </c>
      <c r="D9" s="7"/>
      <c r="E9" s="7"/>
      <c r="F9" s="7"/>
      <c r="G9" s="7"/>
      <c r="J9" s="11" t="s">
        <v>22</v>
      </c>
      <c r="K9" s="11"/>
      <c r="L9" s="11"/>
      <c r="M9" s="11"/>
      <c r="N9" s="11" t="s">
        <v>23</v>
      </c>
      <c r="O9" s="11" t="s">
        <v>24</v>
      </c>
      <c r="P9" s="11" t="s">
        <v>30</v>
      </c>
      <c r="Q9" s="12">
        <v>10000000</v>
      </c>
      <c r="R9" s="12" t="s">
        <v>31</v>
      </c>
      <c r="S9" s="11" t="s">
        <v>32</v>
      </c>
      <c r="T9" s="11" t="s">
        <v>9</v>
      </c>
      <c r="U9" s="11" t="s">
        <v>33</v>
      </c>
      <c r="AL9" s="11" t="s">
        <v>34</v>
      </c>
      <c r="AM9" s="11" t="s">
        <v>57</v>
      </c>
      <c r="AN9" s="11" t="s">
        <v>24</v>
      </c>
      <c r="AO9" s="11" t="s">
        <v>36</v>
      </c>
      <c r="AP9" s="12">
        <v>11000000</v>
      </c>
      <c r="AQ9" s="12" t="s">
        <v>37</v>
      </c>
      <c r="AR9" s="11" t="s">
        <v>38</v>
      </c>
      <c r="AS9" s="11" t="s">
        <v>39</v>
      </c>
      <c r="AT9" s="11" t="s">
        <v>40</v>
      </c>
      <c r="BM9" s="1" t="str">
        <f t="shared" si="0"/>
        <v>정형2_외래활동</v>
      </c>
      <c r="BN9" s="11" t="s">
        <v>58</v>
      </c>
      <c r="BO9" s="11" t="s">
        <v>45</v>
      </c>
      <c r="BP9" s="12">
        <v>6214285.6121063232</v>
      </c>
      <c r="BQ9" s="12" t="s">
        <v>26</v>
      </c>
      <c r="BR9" s="11" t="s">
        <v>46</v>
      </c>
      <c r="BS9" s="11" t="s">
        <v>47</v>
      </c>
      <c r="BT9" s="11" t="s">
        <v>29</v>
      </c>
    </row>
    <row r="10" spans="1:72" x14ac:dyDescent="0.3">
      <c r="A10" s="5"/>
      <c r="B10" s="7"/>
      <c r="C10" s="7" t="s">
        <v>149</v>
      </c>
      <c r="D10" s="7"/>
      <c r="E10" s="7"/>
      <c r="F10" s="7"/>
      <c r="G10" s="7"/>
      <c r="J10" s="11" t="s">
        <v>22</v>
      </c>
      <c r="K10" s="11"/>
      <c r="L10" s="11"/>
      <c r="M10" s="11"/>
      <c r="N10" s="11" t="s">
        <v>53</v>
      </c>
      <c r="O10" s="11" t="s">
        <v>24</v>
      </c>
      <c r="P10" s="11" t="s">
        <v>30</v>
      </c>
      <c r="Q10" s="12">
        <v>2500000</v>
      </c>
      <c r="R10" s="12" t="s">
        <v>26</v>
      </c>
      <c r="S10" s="11" t="s">
        <v>59</v>
      </c>
      <c r="T10" s="11" t="s">
        <v>51</v>
      </c>
      <c r="U10" s="11" t="s">
        <v>33</v>
      </c>
      <c r="X10" t="s">
        <v>60</v>
      </c>
      <c r="AL10" s="11" t="s">
        <v>34</v>
      </c>
      <c r="AM10" s="11" t="s">
        <v>61</v>
      </c>
      <c r="AN10" s="11" t="s">
        <v>24</v>
      </c>
      <c r="AO10" s="11" t="s">
        <v>36</v>
      </c>
      <c r="AP10" s="12">
        <v>10000000</v>
      </c>
      <c r="AQ10" s="12" t="s">
        <v>37</v>
      </c>
      <c r="AR10" s="11" t="s">
        <v>38</v>
      </c>
      <c r="AS10" s="11" t="s">
        <v>39</v>
      </c>
      <c r="AT10" s="11" t="s">
        <v>40</v>
      </c>
      <c r="BM10" s="1" t="str">
        <f t="shared" si="0"/>
        <v>정형2_검사활동</v>
      </c>
      <c r="BN10" s="11" t="s">
        <v>58</v>
      </c>
      <c r="BO10" s="11" t="s">
        <v>54</v>
      </c>
      <c r="BP10" s="12">
        <v>4142857.0747375488</v>
      </c>
      <c r="BQ10" s="12" t="s">
        <v>26</v>
      </c>
      <c r="BR10" s="11" t="s">
        <v>55</v>
      </c>
      <c r="BS10" s="11" t="s">
        <v>62</v>
      </c>
      <c r="BT10" s="11" t="s">
        <v>56</v>
      </c>
    </row>
    <row r="11" spans="1:72" x14ac:dyDescent="0.3">
      <c r="A11" s="5"/>
      <c r="B11" s="7"/>
      <c r="C11" s="7" t="s">
        <v>150</v>
      </c>
      <c r="D11" s="7"/>
      <c r="E11" s="7"/>
      <c r="F11" s="7"/>
      <c r="G11" s="7"/>
      <c r="J11" s="11" t="s">
        <v>34</v>
      </c>
      <c r="K11" s="11"/>
      <c r="L11" s="11"/>
      <c r="M11" s="11"/>
      <c r="N11" s="11" t="s">
        <v>35</v>
      </c>
      <c r="O11" s="11" t="s">
        <v>24</v>
      </c>
      <c r="P11" s="11" t="s">
        <v>36</v>
      </c>
      <c r="Q11" s="12">
        <v>3500000</v>
      </c>
      <c r="R11" s="12" t="s">
        <v>37</v>
      </c>
      <c r="S11" s="11" t="s">
        <v>38</v>
      </c>
      <c r="T11" s="11" t="s">
        <v>39</v>
      </c>
      <c r="U11" s="11" t="s">
        <v>40</v>
      </c>
      <c r="X11" s="10" t="s">
        <v>9</v>
      </c>
      <c r="Y11" s="10" t="s">
        <v>63</v>
      </c>
      <c r="Z11" s="10" t="s">
        <v>64</v>
      </c>
      <c r="AA11" s="10" t="s">
        <v>65</v>
      </c>
      <c r="AB11" s="10" t="s">
        <v>66</v>
      </c>
      <c r="AC11" s="10" t="s">
        <v>67</v>
      </c>
      <c r="AD11" s="10" t="s">
        <v>68</v>
      </c>
      <c r="AE11" s="10" t="s">
        <v>69</v>
      </c>
      <c r="AF11" s="10" t="s">
        <v>70</v>
      </c>
      <c r="AG11" s="10" t="s">
        <v>71</v>
      </c>
      <c r="AH11" s="10" t="s">
        <v>72</v>
      </c>
      <c r="AI11" s="10" t="s">
        <v>73</v>
      </c>
      <c r="AL11" s="11" t="s">
        <v>34</v>
      </c>
      <c r="AM11" s="11" t="s">
        <v>74</v>
      </c>
      <c r="AN11" s="11" t="s">
        <v>24</v>
      </c>
      <c r="AO11" s="11" t="s">
        <v>36</v>
      </c>
      <c r="AP11" s="12">
        <v>9000000</v>
      </c>
      <c r="AQ11" s="12" t="s">
        <v>37</v>
      </c>
      <c r="AR11" s="11" t="s">
        <v>38</v>
      </c>
      <c r="AS11" s="11" t="s">
        <v>39</v>
      </c>
      <c r="AT11" s="11" t="s">
        <v>40</v>
      </c>
      <c r="BM11" s="1" t="str">
        <f t="shared" si="0"/>
        <v>정형3_외래활동</v>
      </c>
      <c r="BN11" s="11" t="s">
        <v>75</v>
      </c>
      <c r="BO11" s="11" t="s">
        <v>45</v>
      </c>
      <c r="BP11" s="12">
        <v>3742857.0747375488</v>
      </c>
      <c r="BQ11" s="12" t="s">
        <v>26</v>
      </c>
      <c r="BR11" s="11" t="s">
        <v>46</v>
      </c>
      <c r="BS11" s="11" t="s">
        <v>47</v>
      </c>
      <c r="BT11" s="11" t="s">
        <v>29</v>
      </c>
    </row>
    <row r="12" spans="1:72" x14ac:dyDescent="0.3">
      <c r="A12" s="5"/>
      <c r="B12" s="7"/>
      <c r="C12" s="7" t="s">
        <v>152</v>
      </c>
      <c r="D12" s="7"/>
      <c r="E12" s="7"/>
      <c r="F12" s="7"/>
      <c r="G12" s="7"/>
      <c r="J12" s="11" t="s">
        <v>34</v>
      </c>
      <c r="K12" s="11"/>
      <c r="L12" s="11"/>
      <c r="M12" s="11"/>
      <c r="N12" s="11" t="s">
        <v>53</v>
      </c>
      <c r="O12" s="11" t="s">
        <v>24</v>
      </c>
      <c r="P12" s="11" t="s">
        <v>36</v>
      </c>
      <c r="Q12" s="12">
        <v>2500000</v>
      </c>
      <c r="R12" s="12" t="s">
        <v>37</v>
      </c>
      <c r="S12" s="11" t="s">
        <v>38</v>
      </c>
      <c r="T12" s="11" t="s">
        <v>39</v>
      </c>
      <c r="U12" s="11" t="s">
        <v>40</v>
      </c>
      <c r="X12" s="11" t="s">
        <v>35</v>
      </c>
      <c r="Y12" s="11">
        <v>1</v>
      </c>
      <c r="Z12" s="14">
        <f>Y12/$Y$16</f>
        <v>0.125</v>
      </c>
      <c r="AA12" s="12">
        <f>Z12*$AB$7</f>
        <v>1250000</v>
      </c>
      <c r="AB12" s="12">
        <f>$AA$14*Z12</f>
        <v>156250</v>
      </c>
      <c r="AC12" s="12">
        <f>$AB$14*Z12</f>
        <v>19531.25</v>
      </c>
      <c r="AD12" s="12">
        <f>$AC$14*Z12</f>
        <v>2441.40625</v>
      </c>
      <c r="AE12" s="12">
        <f>$AD$14*Z12</f>
        <v>305.17578125</v>
      </c>
      <c r="AF12" s="12">
        <f>$AE$14*Z12</f>
        <v>38.14697265625</v>
      </c>
      <c r="AG12" s="12">
        <f>$AF$14*Z12</f>
        <v>4.76837158203125</v>
      </c>
      <c r="AH12" s="12">
        <v>1</v>
      </c>
      <c r="AI12" s="15">
        <f>SUM(AA12:AH12)</f>
        <v>1428571.7473754883</v>
      </c>
      <c r="AL12" s="11" t="s">
        <v>34</v>
      </c>
      <c r="AM12" s="11" t="s">
        <v>76</v>
      </c>
      <c r="AN12" s="11" t="s">
        <v>24</v>
      </c>
      <c r="AO12" s="11" t="s">
        <v>36</v>
      </c>
      <c r="AP12" s="12">
        <v>8000000</v>
      </c>
      <c r="AQ12" s="12" t="s">
        <v>37</v>
      </c>
      <c r="AR12" s="11" t="s">
        <v>38</v>
      </c>
      <c r="AS12" s="11" t="s">
        <v>39</v>
      </c>
      <c r="AT12" s="11" t="s">
        <v>40</v>
      </c>
      <c r="BM12" s="1" t="str">
        <f t="shared" si="0"/>
        <v>정형3_검사활동</v>
      </c>
      <c r="BN12" s="11" t="s">
        <v>75</v>
      </c>
      <c r="BO12" s="11" t="s">
        <v>54</v>
      </c>
      <c r="BP12" s="12">
        <v>5614285.6121063232</v>
      </c>
      <c r="BQ12" s="12" t="s">
        <v>26</v>
      </c>
      <c r="BR12" s="11" t="s">
        <v>55</v>
      </c>
      <c r="BS12" s="11" t="s">
        <v>62</v>
      </c>
      <c r="BT12" s="11" t="s">
        <v>56</v>
      </c>
    </row>
    <row r="13" spans="1:72" x14ac:dyDescent="0.3">
      <c r="A13" s="5"/>
      <c r="B13" s="6">
        <v>2</v>
      </c>
      <c r="C13" s="7" t="s">
        <v>155</v>
      </c>
      <c r="D13" s="7"/>
      <c r="E13" s="7"/>
      <c r="F13" s="7"/>
      <c r="G13" s="7"/>
      <c r="J13" s="11" t="s">
        <v>34</v>
      </c>
      <c r="K13" s="11"/>
      <c r="L13" s="11"/>
      <c r="M13" s="11"/>
      <c r="N13" s="11" t="s">
        <v>57</v>
      </c>
      <c r="O13" s="11" t="s">
        <v>24</v>
      </c>
      <c r="P13" s="11" t="s">
        <v>36</v>
      </c>
      <c r="Q13" s="12">
        <v>11000000</v>
      </c>
      <c r="R13" s="12" t="s">
        <v>37</v>
      </c>
      <c r="S13" s="11" t="s">
        <v>38</v>
      </c>
      <c r="T13" s="11" t="s">
        <v>39</v>
      </c>
      <c r="U13" s="11" t="s">
        <v>40</v>
      </c>
      <c r="X13" s="11" t="s">
        <v>77</v>
      </c>
      <c r="Y13" s="11">
        <v>5</v>
      </c>
      <c r="Z13" s="14">
        <f t="shared" ref="Z13:Z16" si="1">Y13/$Y$16</f>
        <v>0.625</v>
      </c>
      <c r="AA13" s="12">
        <f t="shared" ref="AA13:AA15" si="2">Z13*$AB$7</f>
        <v>6250000</v>
      </c>
      <c r="AB13" s="12">
        <f>$AA$14*Z13</f>
        <v>781250</v>
      </c>
      <c r="AC13" s="12">
        <f t="shared" ref="AC13:AC15" si="3">$AB$14*Z13</f>
        <v>97656.25</v>
      </c>
      <c r="AD13" s="12">
        <f t="shared" ref="AD13:AD15" si="4">$AC$14*Z13</f>
        <v>12207.03125</v>
      </c>
      <c r="AE13" s="12">
        <f t="shared" ref="AE13:AE15" si="5">$AD$14*Z13</f>
        <v>1525.87890625</v>
      </c>
      <c r="AF13" s="12">
        <f t="shared" ref="AF13:AF15" si="6">$AE$14*Z13</f>
        <v>190.73486328125</v>
      </c>
      <c r="AG13" s="12">
        <f t="shared" ref="AG13:AG15" si="7">$AF$14*Z13</f>
        <v>23.84185791015625</v>
      </c>
      <c r="AH13" s="12">
        <v>3</v>
      </c>
      <c r="AI13" s="15">
        <f t="shared" ref="AI13:AI15" si="8">SUM(AA13:AH13)</f>
        <v>7142856.7368774414</v>
      </c>
      <c r="AL13" s="11" t="s">
        <v>34</v>
      </c>
      <c r="AM13" s="11" t="s">
        <v>77</v>
      </c>
      <c r="AN13" s="11" t="s">
        <v>24</v>
      </c>
      <c r="AO13" s="11" t="s">
        <v>36</v>
      </c>
      <c r="AP13" s="12">
        <v>3500000</v>
      </c>
      <c r="AQ13" s="12" t="s">
        <v>37</v>
      </c>
      <c r="AR13" s="11" t="s">
        <v>38</v>
      </c>
      <c r="AS13" s="11" t="s">
        <v>39</v>
      </c>
      <c r="AT13" s="11" t="s">
        <v>40</v>
      </c>
      <c r="BM13" s="1" t="str">
        <f t="shared" si="0"/>
        <v>정형4_외래활동</v>
      </c>
      <c r="BN13" s="11" t="s">
        <v>78</v>
      </c>
      <c r="BO13" s="11" t="s">
        <v>45</v>
      </c>
      <c r="BP13" s="12">
        <v>4178571.343421936</v>
      </c>
      <c r="BQ13" s="12" t="s">
        <v>26</v>
      </c>
      <c r="BR13" s="11" t="s">
        <v>46</v>
      </c>
      <c r="BS13" s="11" t="s">
        <v>47</v>
      </c>
      <c r="BT13" s="11" t="s">
        <v>29</v>
      </c>
    </row>
    <row r="14" spans="1:72" x14ac:dyDescent="0.3">
      <c r="A14" s="5"/>
      <c r="B14" s="6"/>
      <c r="C14" s="7" t="s">
        <v>156</v>
      </c>
      <c r="D14" s="7"/>
      <c r="E14" s="7"/>
      <c r="F14" s="7"/>
      <c r="G14" s="7"/>
      <c r="J14" s="11" t="s">
        <v>34</v>
      </c>
      <c r="K14" s="11"/>
      <c r="L14" s="11"/>
      <c r="M14" s="11"/>
      <c r="N14" s="11" t="s">
        <v>61</v>
      </c>
      <c r="O14" s="11" t="s">
        <v>24</v>
      </c>
      <c r="P14" s="11" t="s">
        <v>36</v>
      </c>
      <c r="Q14" s="12">
        <v>10000000</v>
      </c>
      <c r="R14" s="12" t="s">
        <v>37</v>
      </c>
      <c r="S14" s="11" t="s">
        <v>38</v>
      </c>
      <c r="T14" s="11" t="s">
        <v>39</v>
      </c>
      <c r="U14" s="11" t="s">
        <v>40</v>
      </c>
      <c r="X14" s="11" t="s">
        <v>23</v>
      </c>
      <c r="Y14" s="11">
        <v>1</v>
      </c>
      <c r="Z14" s="14">
        <f t="shared" si="1"/>
        <v>0.125</v>
      </c>
      <c r="AA14" s="12">
        <f t="shared" si="2"/>
        <v>1250000</v>
      </c>
      <c r="AB14" s="12">
        <f>$AA$14*Z14</f>
        <v>156250</v>
      </c>
      <c r="AC14" s="12">
        <f t="shared" si="3"/>
        <v>19531.25</v>
      </c>
      <c r="AD14" s="12">
        <f t="shared" si="4"/>
        <v>2441.40625</v>
      </c>
      <c r="AE14" s="12">
        <f t="shared" si="5"/>
        <v>305.17578125</v>
      </c>
      <c r="AF14" s="12">
        <f t="shared" si="6"/>
        <v>38.14697265625</v>
      </c>
      <c r="AG14" s="12">
        <f t="shared" si="7"/>
        <v>4.76837158203125</v>
      </c>
      <c r="AH14" s="12">
        <v>0</v>
      </c>
      <c r="AI14" s="15">
        <v>0</v>
      </c>
      <c r="AL14" s="11" t="s">
        <v>34</v>
      </c>
      <c r="AM14" s="11" t="s">
        <v>23</v>
      </c>
      <c r="AN14" s="11" t="s">
        <v>24</v>
      </c>
      <c r="AO14" s="11" t="s">
        <v>36</v>
      </c>
      <c r="AP14" s="12">
        <v>2500000</v>
      </c>
      <c r="AQ14" s="12" t="s">
        <v>37</v>
      </c>
      <c r="AR14" s="11" t="s">
        <v>38</v>
      </c>
      <c r="AS14" s="11" t="s">
        <v>39</v>
      </c>
      <c r="AT14" s="11" t="s">
        <v>40</v>
      </c>
      <c r="BM14" s="1" t="str">
        <f t="shared" si="0"/>
        <v>정형4_검사활동</v>
      </c>
      <c r="BN14" s="11" t="s">
        <v>78</v>
      </c>
      <c r="BO14" s="11" t="s">
        <v>54</v>
      </c>
      <c r="BP14" s="12">
        <v>4178571.343421936</v>
      </c>
      <c r="BQ14" s="12" t="s">
        <v>26</v>
      </c>
      <c r="BR14" s="11" t="s">
        <v>55</v>
      </c>
      <c r="BS14" s="11" t="s">
        <v>62</v>
      </c>
      <c r="BT14" s="11" t="s">
        <v>56</v>
      </c>
    </row>
    <row r="15" spans="1:72" x14ac:dyDescent="0.3">
      <c r="A15" s="5"/>
      <c r="B15" s="6"/>
      <c r="C15" s="7" t="s">
        <v>159</v>
      </c>
      <c r="D15" s="7"/>
      <c r="E15" s="7"/>
      <c r="F15" s="7"/>
      <c r="G15" s="7"/>
      <c r="J15" s="11" t="s">
        <v>34</v>
      </c>
      <c r="K15" s="11"/>
      <c r="L15" s="11"/>
      <c r="M15" s="11"/>
      <c r="N15" s="11" t="s">
        <v>74</v>
      </c>
      <c r="O15" s="11" t="s">
        <v>24</v>
      </c>
      <c r="P15" s="11" t="s">
        <v>36</v>
      </c>
      <c r="Q15" s="12">
        <v>9000000</v>
      </c>
      <c r="R15" s="12" t="s">
        <v>37</v>
      </c>
      <c r="S15" s="11" t="s">
        <v>38</v>
      </c>
      <c r="T15" s="11" t="s">
        <v>39</v>
      </c>
      <c r="U15" s="11" t="s">
        <v>40</v>
      </c>
      <c r="X15" s="11" t="s">
        <v>80</v>
      </c>
      <c r="Y15" s="11">
        <v>1</v>
      </c>
      <c r="Z15" s="14">
        <f t="shared" si="1"/>
        <v>0.125</v>
      </c>
      <c r="AA15" s="12">
        <f t="shared" si="2"/>
        <v>1250000</v>
      </c>
      <c r="AB15" s="12">
        <f>$AA$14*Z15</f>
        <v>156250</v>
      </c>
      <c r="AC15" s="12">
        <f t="shared" si="3"/>
        <v>19531.25</v>
      </c>
      <c r="AD15" s="12">
        <f t="shared" si="4"/>
        <v>2441.40625</v>
      </c>
      <c r="AE15" s="12">
        <f t="shared" si="5"/>
        <v>305.17578125</v>
      </c>
      <c r="AF15" s="12">
        <f t="shared" si="6"/>
        <v>38.14697265625</v>
      </c>
      <c r="AG15" s="12">
        <f t="shared" si="7"/>
        <v>4.76837158203125</v>
      </c>
      <c r="AH15" s="12">
        <v>1</v>
      </c>
      <c r="AI15" s="15">
        <f t="shared" si="8"/>
        <v>1428571.7473754883</v>
      </c>
      <c r="BM15" s="1" t="str">
        <f t="shared" si="0"/>
        <v>정형외과_외래활동</v>
      </c>
      <c r="BN15" s="11" t="s">
        <v>29</v>
      </c>
      <c r="BO15" s="11" t="s">
        <v>45</v>
      </c>
      <c r="BP15" s="12">
        <v>10999999.423721313</v>
      </c>
      <c r="BQ15" s="12" t="s">
        <v>26</v>
      </c>
      <c r="BR15" s="11" t="s">
        <v>46</v>
      </c>
      <c r="BS15" s="11" t="s">
        <v>47</v>
      </c>
      <c r="BT15" s="11" t="s">
        <v>29</v>
      </c>
    </row>
    <row r="16" spans="1:72" x14ac:dyDescent="0.3">
      <c r="A16" s="5"/>
      <c r="B16" s="6"/>
      <c r="C16" s="7" t="s">
        <v>157</v>
      </c>
      <c r="D16" s="7"/>
      <c r="E16" s="7"/>
      <c r="F16" s="7"/>
      <c r="G16" s="7"/>
      <c r="J16" s="11" t="s">
        <v>34</v>
      </c>
      <c r="K16" s="11"/>
      <c r="L16" s="11"/>
      <c r="M16" s="11"/>
      <c r="N16" s="11" t="s">
        <v>76</v>
      </c>
      <c r="O16" s="11" t="s">
        <v>24</v>
      </c>
      <c r="P16" s="11" t="s">
        <v>36</v>
      </c>
      <c r="Q16" s="12">
        <v>8000000</v>
      </c>
      <c r="R16" s="12" t="s">
        <v>37</v>
      </c>
      <c r="S16" s="11" t="s">
        <v>38</v>
      </c>
      <c r="T16" s="11" t="s">
        <v>39</v>
      </c>
      <c r="U16" s="11" t="s">
        <v>40</v>
      </c>
      <c r="X16" s="11" t="s">
        <v>81</v>
      </c>
      <c r="Y16" s="11">
        <v>8</v>
      </c>
      <c r="Z16" s="14">
        <f t="shared" si="1"/>
        <v>1</v>
      </c>
      <c r="AA16" s="12">
        <f>SUM(AA12:AA15)</f>
        <v>10000000</v>
      </c>
      <c r="AB16" s="12">
        <f>SUM(AB12:AB15)</f>
        <v>1250000</v>
      </c>
      <c r="AC16" s="12">
        <f t="shared" ref="AC16:AI16" si="9">SUM(AC12:AC15)</f>
        <v>156250</v>
      </c>
      <c r="AD16" s="12">
        <f t="shared" si="9"/>
        <v>19531.25</v>
      </c>
      <c r="AE16" s="12">
        <f t="shared" si="9"/>
        <v>2441.40625</v>
      </c>
      <c r="AF16" s="12">
        <f t="shared" si="9"/>
        <v>305.17578125</v>
      </c>
      <c r="AG16" s="12">
        <f t="shared" si="9"/>
        <v>38.14697265625</v>
      </c>
      <c r="AH16" s="12">
        <f t="shared" si="9"/>
        <v>5</v>
      </c>
      <c r="AI16" s="15">
        <f t="shared" si="9"/>
        <v>10000000.231628418</v>
      </c>
      <c r="AL16" t="s">
        <v>130</v>
      </c>
      <c r="AX16" t="s">
        <v>82</v>
      </c>
      <c r="BM16" s="1" t="str">
        <f t="shared" si="0"/>
        <v>외래검사실_검사활동</v>
      </c>
      <c r="BN16" s="11" t="s">
        <v>56</v>
      </c>
      <c r="BO16" s="11" t="s">
        <v>54</v>
      </c>
      <c r="BP16" s="12">
        <v>5285714.4342193604</v>
      </c>
      <c r="BQ16" s="12" t="s">
        <v>26</v>
      </c>
      <c r="BR16" s="11" t="s">
        <v>55</v>
      </c>
      <c r="BS16" s="11" t="s">
        <v>62</v>
      </c>
      <c r="BT16" s="11" t="s">
        <v>56</v>
      </c>
    </row>
    <row r="17" spans="1:89" x14ac:dyDescent="0.3">
      <c r="A17" s="5"/>
      <c r="B17" s="6"/>
      <c r="C17" s="7" t="s">
        <v>158</v>
      </c>
      <c r="D17" s="7"/>
      <c r="E17" s="7"/>
      <c r="F17" s="7"/>
      <c r="G17" s="7"/>
      <c r="J17" s="11" t="s">
        <v>34</v>
      </c>
      <c r="K17" s="11"/>
      <c r="L17" s="11"/>
      <c r="M17" s="11"/>
      <c r="N17" s="11" t="s">
        <v>77</v>
      </c>
      <c r="O17" s="11" t="s">
        <v>24</v>
      </c>
      <c r="P17" s="11" t="s">
        <v>36</v>
      </c>
      <c r="Q17" s="12">
        <v>3500000</v>
      </c>
      <c r="R17" s="12" t="s">
        <v>37</v>
      </c>
      <c r="S17" s="11" t="s">
        <v>38</v>
      </c>
      <c r="T17" s="11" t="s">
        <v>39</v>
      </c>
      <c r="U17" s="11" t="s">
        <v>40</v>
      </c>
      <c r="AL17" s="10" t="s">
        <v>9</v>
      </c>
      <c r="AM17" s="10" t="s">
        <v>17</v>
      </c>
      <c r="AN17" s="10" t="s">
        <v>18</v>
      </c>
      <c r="AO17" s="10" t="s">
        <v>83</v>
      </c>
      <c r="AP17" s="10" t="s">
        <v>84</v>
      </c>
      <c r="AQ17" s="10" t="s">
        <v>85</v>
      </c>
      <c r="AR17" s="10" t="s">
        <v>73</v>
      </c>
      <c r="AS17" s="10" t="s">
        <v>19</v>
      </c>
      <c r="AX17" s="10" t="s">
        <v>9</v>
      </c>
      <c r="AY17" s="10" t="s">
        <v>17</v>
      </c>
      <c r="AZ17" s="10" t="s">
        <v>18</v>
      </c>
      <c r="BA17" s="10" t="s">
        <v>86</v>
      </c>
      <c r="BB17" s="10" t="s">
        <v>87</v>
      </c>
      <c r="BC17" s="10" t="s">
        <v>65</v>
      </c>
      <c r="BD17" s="10" t="s">
        <v>66</v>
      </c>
      <c r="BE17" s="10" t="s">
        <v>67</v>
      </c>
      <c r="BF17" s="10" t="s">
        <v>68</v>
      </c>
      <c r="BG17" s="10" t="s">
        <v>69</v>
      </c>
      <c r="BH17" s="10" t="s">
        <v>70</v>
      </c>
      <c r="BI17" s="10" t="s">
        <v>71</v>
      </c>
      <c r="BJ17" s="10" t="s">
        <v>72</v>
      </c>
      <c r="BK17" s="10" t="s">
        <v>88</v>
      </c>
      <c r="BM17" s="1" t="str">
        <f t="shared" si="0"/>
        <v>원무팀_행정활동</v>
      </c>
      <c r="BN17" s="11" t="s">
        <v>80</v>
      </c>
      <c r="BO17" s="11" t="s">
        <v>89</v>
      </c>
      <c r="BP17" s="12">
        <v>4285714.4342193604</v>
      </c>
      <c r="BQ17" s="12" t="s">
        <v>26</v>
      </c>
      <c r="BR17" s="11" t="s">
        <v>46</v>
      </c>
      <c r="BS17" s="11" t="s">
        <v>47</v>
      </c>
      <c r="BT17" s="11" t="s">
        <v>29</v>
      </c>
    </row>
    <row r="18" spans="1:89" x14ac:dyDescent="0.3">
      <c r="A18" s="5"/>
      <c r="B18" s="6">
        <v>3</v>
      </c>
      <c r="C18" s="7" t="s">
        <v>160</v>
      </c>
      <c r="D18" s="7"/>
      <c r="E18" s="7"/>
      <c r="F18" s="7"/>
      <c r="G18" s="7"/>
      <c r="J18" s="11" t="s">
        <v>34</v>
      </c>
      <c r="K18" s="11"/>
      <c r="L18" s="11"/>
      <c r="M18" s="11"/>
      <c r="N18" s="11" t="s">
        <v>23</v>
      </c>
      <c r="O18" s="11" t="s">
        <v>24</v>
      </c>
      <c r="P18" s="11" t="s">
        <v>36</v>
      </c>
      <c r="Q18" s="12">
        <v>2500000</v>
      </c>
      <c r="R18" s="12" t="s">
        <v>37</v>
      </c>
      <c r="S18" s="11" t="s">
        <v>38</v>
      </c>
      <c r="T18" s="11" t="s">
        <v>39</v>
      </c>
      <c r="U18" s="11" t="s">
        <v>40</v>
      </c>
      <c r="AL18" s="11" t="s">
        <v>57</v>
      </c>
      <c r="AM18" s="11" t="s">
        <v>90</v>
      </c>
      <c r="AN18" s="11" t="s">
        <v>45</v>
      </c>
      <c r="AO18" s="11">
        <v>0.5</v>
      </c>
      <c r="AP18" s="12">
        <f>VLOOKUP(AL18,$AM$6:$AP$14,4,FALSE)</f>
        <v>11000000</v>
      </c>
      <c r="AQ18" s="12">
        <f>AO18*AP18</f>
        <v>5500000</v>
      </c>
      <c r="AR18" s="15">
        <f>IFERROR(VLOOKUP(AL18,$X$11:$AI$16,12,FALSE),0)</f>
        <v>0</v>
      </c>
      <c r="AS18" s="12">
        <f t="shared" ref="AS18:AS29" si="10">SUM(AQ18:AR18)</f>
        <v>5500000</v>
      </c>
      <c r="AX18" s="11" t="s">
        <v>57</v>
      </c>
      <c r="AY18" s="11" t="s">
        <v>90</v>
      </c>
      <c r="AZ18" s="11" t="s">
        <v>45</v>
      </c>
      <c r="BA18" s="11">
        <f t="shared" ref="BA18:BA29" si="11">AO18</f>
        <v>0.5</v>
      </c>
      <c r="BB18" s="14">
        <f t="shared" ref="BB18:BB29" si="12">BA18/SUM($BA$18:$BA$29)</f>
        <v>6.25E-2</v>
      </c>
      <c r="BC18" s="12">
        <f>BB18*$BA$7</f>
        <v>156250</v>
      </c>
      <c r="BD18" s="12">
        <f t="shared" ref="BD18:BI29" si="13">$BB18*BC$29</f>
        <v>19531.25</v>
      </c>
      <c r="BE18" s="12">
        <f t="shared" si="13"/>
        <v>2441.40625</v>
      </c>
      <c r="BF18" s="12">
        <f t="shared" si="13"/>
        <v>305.17578125</v>
      </c>
      <c r="BG18" s="12">
        <f t="shared" si="13"/>
        <v>38.14697265625</v>
      </c>
      <c r="BH18" s="12">
        <f t="shared" si="13"/>
        <v>4.76837158203125</v>
      </c>
      <c r="BI18" s="12">
        <f t="shared" si="13"/>
        <v>0.59604644775390625</v>
      </c>
      <c r="BJ18" s="12">
        <f t="shared" ref="BJ18:BJ29" si="14">ROUND($BB18*BI$29,0)</f>
        <v>0</v>
      </c>
      <c r="BK18" s="12">
        <f>SUM(BC18:BJ18)</f>
        <v>178571.34342193604</v>
      </c>
      <c r="BM18" s="1" t="str">
        <f t="shared" si="0"/>
        <v>행정팀_재료비</v>
      </c>
      <c r="BN18" s="11" t="s">
        <v>91</v>
      </c>
      <c r="BO18" s="11" t="s">
        <v>25</v>
      </c>
      <c r="BP18" s="12">
        <v>52500000</v>
      </c>
      <c r="BQ18" s="12" t="s">
        <v>26</v>
      </c>
      <c r="BR18" s="11" t="s">
        <v>27</v>
      </c>
      <c r="BS18" s="11" t="s">
        <v>28</v>
      </c>
      <c r="BT18" s="11" t="s">
        <v>29</v>
      </c>
    </row>
    <row r="19" spans="1:89" x14ac:dyDescent="0.3">
      <c r="A19" s="5"/>
      <c r="B19" s="6"/>
      <c r="C19" s="7" t="s">
        <v>161</v>
      </c>
      <c r="D19" s="7"/>
      <c r="E19" s="7"/>
      <c r="F19" s="7"/>
      <c r="G19" s="7"/>
      <c r="AL19" s="11" t="s">
        <v>57</v>
      </c>
      <c r="AM19" s="11" t="s">
        <v>90</v>
      </c>
      <c r="AN19" s="11" t="s">
        <v>54</v>
      </c>
      <c r="AO19" s="11">
        <v>0.5</v>
      </c>
      <c r="AP19" s="12">
        <f t="shared" ref="AP19:AP29" si="15">VLOOKUP(AL19,$AM$6:$AP$14,4,FALSE)</f>
        <v>11000000</v>
      </c>
      <c r="AQ19" s="12">
        <f t="shared" ref="AQ19:AQ29" si="16">AO19*AP19</f>
        <v>5500000</v>
      </c>
      <c r="AR19" s="15">
        <f t="shared" ref="AR19:AR29" si="17">IFERROR(VLOOKUP(AL19,$X$11:$AI$16,12,FALSE),0)</f>
        <v>0</v>
      </c>
      <c r="AS19" s="12">
        <f t="shared" si="10"/>
        <v>5500000</v>
      </c>
      <c r="AX19" s="11" t="s">
        <v>57</v>
      </c>
      <c r="AY19" s="11" t="s">
        <v>90</v>
      </c>
      <c r="AZ19" s="11" t="s">
        <v>54</v>
      </c>
      <c r="BA19" s="11">
        <f t="shared" si="11"/>
        <v>0.5</v>
      </c>
      <c r="BB19" s="14">
        <f t="shared" si="12"/>
        <v>6.25E-2</v>
      </c>
      <c r="BC19" s="12">
        <f t="shared" ref="BC19:BC29" si="18">BB19*$BA$7</f>
        <v>156250</v>
      </c>
      <c r="BD19" s="12">
        <f t="shared" si="13"/>
        <v>19531.25</v>
      </c>
      <c r="BE19" s="12">
        <f t="shared" si="13"/>
        <v>2441.40625</v>
      </c>
      <c r="BF19" s="12">
        <f t="shared" si="13"/>
        <v>305.17578125</v>
      </c>
      <c r="BG19" s="12">
        <f t="shared" si="13"/>
        <v>38.14697265625</v>
      </c>
      <c r="BH19" s="12">
        <f t="shared" si="13"/>
        <v>4.76837158203125</v>
      </c>
      <c r="BI19" s="12">
        <f t="shared" si="13"/>
        <v>0.59604644775390625</v>
      </c>
      <c r="BJ19" s="12">
        <f t="shared" si="14"/>
        <v>0</v>
      </c>
      <c r="BK19" s="12">
        <f t="shared" ref="BK19:BK28" si="19">SUM(BC19:BJ19)</f>
        <v>178571.34342193604</v>
      </c>
      <c r="BM19" s="1" t="str">
        <f t="shared" si="0"/>
        <v>행정팀_상각비</v>
      </c>
      <c r="BN19" s="11" t="s">
        <v>91</v>
      </c>
      <c r="BO19" s="11" t="s">
        <v>49</v>
      </c>
      <c r="BP19" s="12">
        <v>5000000</v>
      </c>
      <c r="BQ19" s="12" t="s">
        <v>26</v>
      </c>
      <c r="BR19" s="11" t="s">
        <v>50</v>
      </c>
      <c r="BS19" s="11" t="s">
        <v>47</v>
      </c>
      <c r="BT19" s="11" t="s">
        <v>52</v>
      </c>
    </row>
    <row r="20" spans="1:89" x14ac:dyDescent="0.3">
      <c r="A20" s="5"/>
      <c r="B20" s="6"/>
      <c r="C20" s="7" t="s">
        <v>162</v>
      </c>
      <c r="D20" s="7"/>
      <c r="E20" s="7"/>
      <c r="F20" s="7"/>
      <c r="G20" s="7"/>
      <c r="AL20" s="11" t="s">
        <v>61</v>
      </c>
      <c r="AM20" s="11" t="s">
        <v>90</v>
      </c>
      <c r="AN20" s="11" t="s">
        <v>45</v>
      </c>
      <c r="AO20" s="11">
        <v>0.6</v>
      </c>
      <c r="AP20" s="12">
        <f t="shared" si="15"/>
        <v>10000000</v>
      </c>
      <c r="AQ20" s="12">
        <f t="shared" si="16"/>
        <v>6000000</v>
      </c>
      <c r="AR20" s="15">
        <f t="shared" si="17"/>
        <v>0</v>
      </c>
      <c r="AS20" s="12">
        <f t="shared" si="10"/>
        <v>6000000</v>
      </c>
      <c r="AX20" s="11" t="s">
        <v>61</v>
      </c>
      <c r="AY20" s="11" t="s">
        <v>90</v>
      </c>
      <c r="AZ20" s="11" t="s">
        <v>45</v>
      </c>
      <c r="BA20" s="11">
        <f t="shared" si="11"/>
        <v>0.6</v>
      </c>
      <c r="BB20" s="14">
        <f t="shared" si="12"/>
        <v>7.4999999999999997E-2</v>
      </c>
      <c r="BC20" s="12">
        <f t="shared" si="18"/>
        <v>187500</v>
      </c>
      <c r="BD20" s="12">
        <f t="shared" si="13"/>
        <v>23437.5</v>
      </c>
      <c r="BE20" s="12">
        <f t="shared" si="13"/>
        <v>2929.6875</v>
      </c>
      <c r="BF20" s="12">
        <f t="shared" si="13"/>
        <v>366.2109375</v>
      </c>
      <c r="BG20" s="12">
        <f t="shared" si="13"/>
        <v>45.7763671875</v>
      </c>
      <c r="BH20" s="12">
        <f t="shared" si="13"/>
        <v>5.7220458984375</v>
      </c>
      <c r="BI20" s="12">
        <f t="shared" si="13"/>
        <v>0.7152557373046875</v>
      </c>
      <c r="BJ20" s="12">
        <f t="shared" si="14"/>
        <v>0</v>
      </c>
      <c r="BK20" s="12">
        <f t="shared" si="19"/>
        <v>214285.61210632324</v>
      </c>
      <c r="BM20" s="1" t="str">
        <f t="shared" si="0"/>
        <v>원무팀_관리비</v>
      </c>
      <c r="BN20" s="11" t="s">
        <v>80</v>
      </c>
      <c r="BO20" s="11" t="s">
        <v>30</v>
      </c>
      <c r="BP20" s="12">
        <v>2500000</v>
      </c>
      <c r="BQ20" s="12" t="s">
        <v>26</v>
      </c>
      <c r="BR20" s="11" t="s">
        <v>59</v>
      </c>
      <c r="BS20" s="11" t="s">
        <v>47</v>
      </c>
      <c r="BT20" s="11" t="s">
        <v>33</v>
      </c>
    </row>
    <row r="21" spans="1:89" x14ac:dyDescent="0.3">
      <c r="A21" s="5"/>
      <c r="B21" s="6"/>
      <c r="C21" s="7" t="s">
        <v>163</v>
      </c>
      <c r="D21" s="7"/>
      <c r="E21" s="7"/>
      <c r="F21" s="7"/>
      <c r="G21" s="7"/>
      <c r="AL21" s="11" t="s">
        <v>61</v>
      </c>
      <c r="AM21" s="11" t="s">
        <v>90</v>
      </c>
      <c r="AN21" s="11" t="s">
        <v>54</v>
      </c>
      <c r="AO21" s="11">
        <v>0.4</v>
      </c>
      <c r="AP21" s="12">
        <f t="shared" si="15"/>
        <v>10000000</v>
      </c>
      <c r="AQ21" s="12">
        <f t="shared" si="16"/>
        <v>4000000</v>
      </c>
      <c r="AR21" s="15">
        <f t="shared" si="17"/>
        <v>0</v>
      </c>
      <c r="AS21" s="12">
        <f t="shared" si="10"/>
        <v>4000000</v>
      </c>
      <c r="AX21" s="11" t="s">
        <v>61</v>
      </c>
      <c r="AY21" s="11" t="s">
        <v>90</v>
      </c>
      <c r="AZ21" s="11" t="s">
        <v>54</v>
      </c>
      <c r="BA21" s="11">
        <f t="shared" si="11"/>
        <v>0.4</v>
      </c>
      <c r="BB21" s="14">
        <f t="shared" si="12"/>
        <v>0.05</v>
      </c>
      <c r="BC21" s="12">
        <f t="shared" si="18"/>
        <v>125000</v>
      </c>
      <c r="BD21" s="12">
        <f t="shared" si="13"/>
        <v>15625</v>
      </c>
      <c r="BE21" s="12">
        <f t="shared" si="13"/>
        <v>1953.125</v>
      </c>
      <c r="BF21" s="12">
        <f t="shared" si="13"/>
        <v>244.140625</v>
      </c>
      <c r="BG21" s="12">
        <f t="shared" si="13"/>
        <v>30.517578125</v>
      </c>
      <c r="BH21" s="12">
        <f t="shared" si="13"/>
        <v>3.814697265625</v>
      </c>
      <c r="BI21" s="12">
        <f t="shared" si="13"/>
        <v>0.476837158203125</v>
      </c>
      <c r="BJ21" s="12">
        <f t="shared" si="14"/>
        <v>0</v>
      </c>
      <c r="BK21" s="12">
        <f t="shared" si="19"/>
        <v>142857.07473754883</v>
      </c>
    </row>
    <row r="22" spans="1:89" x14ac:dyDescent="0.3">
      <c r="A22" s="5"/>
      <c r="B22" s="6"/>
      <c r="C22" s="7"/>
      <c r="D22" s="7"/>
      <c r="E22" s="7"/>
      <c r="F22" s="7"/>
      <c r="G22" s="7"/>
      <c r="AL22" s="11" t="s">
        <v>74</v>
      </c>
      <c r="AM22" s="11" t="s">
        <v>90</v>
      </c>
      <c r="AN22" s="11" t="s">
        <v>45</v>
      </c>
      <c r="AO22" s="11">
        <v>0.4</v>
      </c>
      <c r="AP22" s="12">
        <f t="shared" si="15"/>
        <v>9000000</v>
      </c>
      <c r="AQ22" s="12">
        <f t="shared" si="16"/>
        <v>3600000</v>
      </c>
      <c r="AR22" s="15">
        <f t="shared" si="17"/>
        <v>0</v>
      </c>
      <c r="AS22" s="12">
        <f t="shared" si="10"/>
        <v>3600000</v>
      </c>
      <c r="AX22" s="11" t="s">
        <v>74</v>
      </c>
      <c r="AY22" s="11" t="s">
        <v>90</v>
      </c>
      <c r="AZ22" s="11" t="s">
        <v>45</v>
      </c>
      <c r="BA22" s="11">
        <f t="shared" si="11"/>
        <v>0.4</v>
      </c>
      <c r="BB22" s="14">
        <f t="shared" si="12"/>
        <v>0.05</v>
      </c>
      <c r="BC22" s="12">
        <f t="shared" si="18"/>
        <v>125000</v>
      </c>
      <c r="BD22" s="12">
        <f t="shared" si="13"/>
        <v>15625</v>
      </c>
      <c r="BE22" s="12">
        <f t="shared" si="13"/>
        <v>1953.125</v>
      </c>
      <c r="BF22" s="12">
        <f t="shared" si="13"/>
        <v>244.140625</v>
      </c>
      <c r="BG22" s="12">
        <f t="shared" si="13"/>
        <v>30.517578125</v>
      </c>
      <c r="BH22" s="12">
        <f t="shared" si="13"/>
        <v>3.814697265625</v>
      </c>
      <c r="BI22" s="12">
        <f t="shared" si="13"/>
        <v>0.476837158203125</v>
      </c>
      <c r="BJ22" s="12">
        <f t="shared" si="14"/>
        <v>0</v>
      </c>
      <c r="BK22" s="12">
        <f t="shared" si="19"/>
        <v>142857.07473754883</v>
      </c>
    </row>
    <row r="23" spans="1:89" x14ac:dyDescent="0.3">
      <c r="A23" s="5"/>
      <c r="B23" s="6"/>
      <c r="C23" s="7"/>
      <c r="D23" s="7"/>
      <c r="E23" s="7"/>
      <c r="F23" s="7"/>
      <c r="G23" s="7"/>
      <c r="AL23" s="11" t="s">
        <v>74</v>
      </c>
      <c r="AM23" s="11" t="s">
        <v>90</v>
      </c>
      <c r="AN23" s="11" t="s">
        <v>54</v>
      </c>
      <c r="AO23" s="11">
        <v>0.6</v>
      </c>
      <c r="AP23" s="12">
        <f t="shared" si="15"/>
        <v>9000000</v>
      </c>
      <c r="AQ23" s="12">
        <f t="shared" si="16"/>
        <v>5400000</v>
      </c>
      <c r="AR23" s="15">
        <f t="shared" si="17"/>
        <v>0</v>
      </c>
      <c r="AS23" s="12">
        <f t="shared" si="10"/>
        <v>5400000</v>
      </c>
      <c r="AX23" s="11" t="s">
        <v>74</v>
      </c>
      <c r="AY23" s="11" t="s">
        <v>90</v>
      </c>
      <c r="AZ23" s="11" t="s">
        <v>54</v>
      </c>
      <c r="BA23" s="11">
        <f t="shared" si="11"/>
        <v>0.6</v>
      </c>
      <c r="BB23" s="14">
        <f t="shared" si="12"/>
        <v>7.4999999999999997E-2</v>
      </c>
      <c r="BC23" s="12">
        <f t="shared" si="18"/>
        <v>187500</v>
      </c>
      <c r="BD23" s="12">
        <f t="shared" si="13"/>
        <v>23437.5</v>
      </c>
      <c r="BE23" s="12">
        <f t="shared" si="13"/>
        <v>2929.6875</v>
      </c>
      <c r="BF23" s="12">
        <f t="shared" si="13"/>
        <v>366.2109375</v>
      </c>
      <c r="BG23" s="12">
        <f t="shared" si="13"/>
        <v>45.7763671875</v>
      </c>
      <c r="BH23" s="12">
        <f t="shared" si="13"/>
        <v>5.7220458984375</v>
      </c>
      <c r="BI23" s="12">
        <f t="shared" si="13"/>
        <v>0.7152557373046875</v>
      </c>
      <c r="BJ23" s="12">
        <f t="shared" si="14"/>
        <v>0</v>
      </c>
      <c r="BK23" s="12">
        <f t="shared" si="19"/>
        <v>214285.61210632324</v>
      </c>
    </row>
    <row r="24" spans="1:89" x14ac:dyDescent="0.3">
      <c r="A24" s="5"/>
      <c r="B24" s="6"/>
      <c r="C24" s="7"/>
      <c r="D24" s="7"/>
      <c r="E24" s="7"/>
      <c r="F24" s="7"/>
      <c r="G24" s="7"/>
      <c r="AL24" s="11" t="s">
        <v>76</v>
      </c>
      <c r="AM24" s="11" t="s">
        <v>90</v>
      </c>
      <c r="AN24" s="11" t="s">
        <v>45</v>
      </c>
      <c r="AO24" s="11">
        <v>0.5</v>
      </c>
      <c r="AP24" s="12">
        <f t="shared" si="15"/>
        <v>8000000</v>
      </c>
      <c r="AQ24" s="12">
        <f t="shared" si="16"/>
        <v>4000000</v>
      </c>
      <c r="AR24" s="15">
        <f t="shared" si="17"/>
        <v>0</v>
      </c>
      <c r="AS24" s="12">
        <f t="shared" si="10"/>
        <v>4000000</v>
      </c>
      <c r="AX24" s="11" t="s">
        <v>76</v>
      </c>
      <c r="AY24" s="11" t="s">
        <v>90</v>
      </c>
      <c r="AZ24" s="11" t="s">
        <v>45</v>
      </c>
      <c r="BA24" s="11">
        <f t="shared" si="11"/>
        <v>0.5</v>
      </c>
      <c r="BB24" s="14">
        <f t="shared" si="12"/>
        <v>6.25E-2</v>
      </c>
      <c r="BC24" s="12">
        <f t="shared" si="18"/>
        <v>156250</v>
      </c>
      <c r="BD24" s="12">
        <f t="shared" si="13"/>
        <v>19531.25</v>
      </c>
      <c r="BE24" s="12">
        <f t="shared" si="13"/>
        <v>2441.40625</v>
      </c>
      <c r="BF24" s="12">
        <f t="shared" si="13"/>
        <v>305.17578125</v>
      </c>
      <c r="BG24" s="12">
        <f t="shared" si="13"/>
        <v>38.14697265625</v>
      </c>
      <c r="BH24" s="12">
        <f t="shared" si="13"/>
        <v>4.76837158203125</v>
      </c>
      <c r="BI24" s="12">
        <f t="shared" si="13"/>
        <v>0.59604644775390625</v>
      </c>
      <c r="BJ24" s="12">
        <f t="shared" si="14"/>
        <v>0</v>
      </c>
      <c r="BK24" s="12">
        <f t="shared" si="19"/>
        <v>178571.34342193604</v>
      </c>
    </row>
    <row r="25" spans="1:89" x14ac:dyDescent="0.3">
      <c r="A25" s="5"/>
      <c r="B25" s="6"/>
      <c r="C25" s="7"/>
      <c r="D25" s="7"/>
      <c r="E25" s="7"/>
      <c r="F25" s="7"/>
      <c r="G25" s="7"/>
      <c r="AL25" s="11" t="s">
        <v>76</v>
      </c>
      <c r="AM25" s="11" t="s">
        <v>90</v>
      </c>
      <c r="AN25" s="11" t="s">
        <v>54</v>
      </c>
      <c r="AO25" s="11">
        <v>0.5</v>
      </c>
      <c r="AP25" s="12">
        <f t="shared" si="15"/>
        <v>8000000</v>
      </c>
      <c r="AQ25" s="12">
        <f t="shared" si="16"/>
        <v>4000000</v>
      </c>
      <c r="AR25" s="15">
        <f t="shared" si="17"/>
        <v>0</v>
      </c>
      <c r="AS25" s="12">
        <f t="shared" si="10"/>
        <v>4000000</v>
      </c>
      <c r="AX25" s="11" t="s">
        <v>76</v>
      </c>
      <c r="AY25" s="11" t="s">
        <v>90</v>
      </c>
      <c r="AZ25" s="11" t="s">
        <v>54</v>
      </c>
      <c r="BA25" s="11">
        <f t="shared" si="11"/>
        <v>0.5</v>
      </c>
      <c r="BB25" s="14">
        <f t="shared" si="12"/>
        <v>6.25E-2</v>
      </c>
      <c r="BC25" s="12">
        <f t="shared" si="18"/>
        <v>156250</v>
      </c>
      <c r="BD25" s="12">
        <f t="shared" si="13"/>
        <v>19531.25</v>
      </c>
      <c r="BE25" s="12">
        <f t="shared" si="13"/>
        <v>2441.40625</v>
      </c>
      <c r="BF25" s="12">
        <f t="shared" si="13"/>
        <v>305.17578125</v>
      </c>
      <c r="BG25" s="12">
        <f t="shared" si="13"/>
        <v>38.14697265625</v>
      </c>
      <c r="BH25" s="12">
        <f t="shared" si="13"/>
        <v>4.76837158203125</v>
      </c>
      <c r="BI25" s="12">
        <f t="shared" si="13"/>
        <v>0.59604644775390625</v>
      </c>
      <c r="BJ25" s="12">
        <f t="shared" si="14"/>
        <v>0</v>
      </c>
      <c r="BK25" s="12">
        <f t="shared" si="19"/>
        <v>178571.34342193604</v>
      </c>
      <c r="BN25" t="s">
        <v>92</v>
      </c>
      <c r="BS25" t="s">
        <v>93</v>
      </c>
      <c r="BX25" t="s">
        <v>94</v>
      </c>
    </row>
    <row r="26" spans="1:89" x14ac:dyDescent="0.3">
      <c r="AL26" s="11" t="s">
        <v>77</v>
      </c>
      <c r="AM26" s="11" t="s">
        <v>95</v>
      </c>
      <c r="AN26" s="11" t="s">
        <v>45</v>
      </c>
      <c r="AO26" s="11">
        <v>1</v>
      </c>
      <c r="AP26" s="12">
        <f t="shared" si="15"/>
        <v>3500000</v>
      </c>
      <c r="AQ26" s="12">
        <f t="shared" si="16"/>
        <v>3500000</v>
      </c>
      <c r="AR26" s="15">
        <f t="shared" si="17"/>
        <v>7142856.7368774414</v>
      </c>
      <c r="AS26" s="12">
        <f t="shared" si="10"/>
        <v>10642856.736877441</v>
      </c>
      <c r="AX26" s="11" t="s">
        <v>77</v>
      </c>
      <c r="AY26" s="11" t="s">
        <v>95</v>
      </c>
      <c r="AZ26" s="11" t="s">
        <v>45</v>
      </c>
      <c r="BA26" s="11">
        <f t="shared" si="11"/>
        <v>1</v>
      </c>
      <c r="BB26" s="14">
        <f t="shared" si="12"/>
        <v>0.125</v>
      </c>
      <c r="BC26" s="12">
        <f t="shared" si="18"/>
        <v>312500</v>
      </c>
      <c r="BD26" s="12">
        <f t="shared" si="13"/>
        <v>39062.5</v>
      </c>
      <c r="BE26" s="12">
        <f t="shared" si="13"/>
        <v>4882.8125</v>
      </c>
      <c r="BF26" s="12">
        <f t="shared" si="13"/>
        <v>610.3515625</v>
      </c>
      <c r="BG26" s="12">
        <f t="shared" si="13"/>
        <v>76.2939453125</v>
      </c>
      <c r="BH26" s="12">
        <f t="shared" si="13"/>
        <v>9.5367431640625</v>
      </c>
      <c r="BI26" s="12">
        <f t="shared" si="13"/>
        <v>1.1920928955078125</v>
      </c>
      <c r="BJ26" s="12">
        <f t="shared" si="14"/>
        <v>0</v>
      </c>
      <c r="BK26" s="12">
        <f t="shared" si="19"/>
        <v>357142.68684387207</v>
      </c>
      <c r="BN26" s="10" t="s">
        <v>28</v>
      </c>
      <c r="BO26" s="10" t="s">
        <v>47</v>
      </c>
      <c r="BP26" s="10" t="s">
        <v>96</v>
      </c>
      <c r="BQ26" s="10" t="s">
        <v>62</v>
      </c>
      <c r="BR26" s="10" t="s">
        <v>97</v>
      </c>
      <c r="BS26" s="9" t="s">
        <v>98</v>
      </c>
      <c r="BT26" s="9" t="s">
        <v>99</v>
      </c>
      <c r="BU26" s="9" t="s">
        <v>100</v>
      </c>
      <c r="BV26" s="9" t="s">
        <v>101</v>
      </c>
      <c r="BW26" s="9" t="s">
        <v>102</v>
      </c>
      <c r="BX26" s="21" t="s">
        <v>103</v>
      </c>
      <c r="BY26" s="21" t="s">
        <v>104</v>
      </c>
      <c r="BZ26" s="21" t="s">
        <v>105</v>
      </c>
      <c r="CA26" s="21" t="s">
        <v>106</v>
      </c>
      <c r="CB26" s="21" t="s">
        <v>107</v>
      </c>
      <c r="CC26" s="21" t="s">
        <v>108</v>
      </c>
      <c r="CD26" s="21" t="s">
        <v>109</v>
      </c>
      <c r="CE26" s="21" t="s">
        <v>110</v>
      </c>
      <c r="CF26" s="21" t="s">
        <v>111</v>
      </c>
      <c r="CG26" s="21" t="s">
        <v>112</v>
      </c>
      <c r="CH26" s="21" t="s">
        <v>113</v>
      </c>
      <c r="CI26" s="21" t="s">
        <v>114</v>
      </c>
      <c r="CJ26" s="21" t="s">
        <v>115</v>
      </c>
      <c r="CK26" s="21" t="s">
        <v>116</v>
      </c>
    </row>
    <row r="27" spans="1:89" x14ac:dyDescent="0.3">
      <c r="AL27" s="11" t="s">
        <v>35</v>
      </c>
      <c r="AM27" s="11" t="s">
        <v>95</v>
      </c>
      <c r="AN27" s="11" t="s">
        <v>54</v>
      </c>
      <c r="AO27" s="11">
        <v>1</v>
      </c>
      <c r="AP27" s="12">
        <f t="shared" si="15"/>
        <v>3500000</v>
      </c>
      <c r="AQ27" s="12">
        <f t="shared" si="16"/>
        <v>3500000</v>
      </c>
      <c r="AR27" s="15">
        <f t="shared" si="17"/>
        <v>1428571.7473754883</v>
      </c>
      <c r="AS27" s="12">
        <f t="shared" si="10"/>
        <v>4928571.7473754883</v>
      </c>
      <c r="AX27" s="11" t="s">
        <v>35</v>
      </c>
      <c r="AY27" s="11" t="s">
        <v>95</v>
      </c>
      <c r="AZ27" s="11" t="s">
        <v>54</v>
      </c>
      <c r="BA27" s="11">
        <f t="shared" si="11"/>
        <v>1</v>
      </c>
      <c r="BB27" s="14">
        <f t="shared" si="12"/>
        <v>0.125</v>
      </c>
      <c r="BC27" s="12">
        <f t="shared" si="18"/>
        <v>312500</v>
      </c>
      <c r="BD27" s="12">
        <f t="shared" si="13"/>
        <v>39062.5</v>
      </c>
      <c r="BE27" s="12">
        <f t="shared" si="13"/>
        <v>4882.8125</v>
      </c>
      <c r="BF27" s="12">
        <f t="shared" si="13"/>
        <v>610.3515625</v>
      </c>
      <c r="BG27" s="12">
        <f t="shared" si="13"/>
        <v>76.2939453125</v>
      </c>
      <c r="BH27" s="12">
        <f t="shared" si="13"/>
        <v>9.5367431640625</v>
      </c>
      <c r="BI27" s="12">
        <f t="shared" si="13"/>
        <v>1.1920928955078125</v>
      </c>
      <c r="BJ27" s="12">
        <f t="shared" si="14"/>
        <v>0</v>
      </c>
      <c r="BK27" s="12">
        <f t="shared" si="19"/>
        <v>357142.68684387207</v>
      </c>
      <c r="BN27" s="11" t="s">
        <v>77</v>
      </c>
      <c r="BO27" s="11" t="s">
        <v>35</v>
      </c>
      <c r="BP27" s="11" t="s">
        <v>57</v>
      </c>
      <c r="BQ27" s="11" t="s">
        <v>57</v>
      </c>
      <c r="BR27" s="12">
        <v>12800000</v>
      </c>
      <c r="BS27" s="12">
        <v>12800000</v>
      </c>
      <c r="BT27" s="12">
        <v>6200000</v>
      </c>
      <c r="BU27" s="12">
        <v>6600000</v>
      </c>
      <c r="BV27" s="12">
        <v>75.862068965517238</v>
      </c>
      <c r="BW27" s="12">
        <v>0</v>
      </c>
      <c r="BX27" s="12"/>
      <c r="BY27" s="12">
        <f>BV27</f>
        <v>75.862068965517238</v>
      </c>
      <c r="BZ27" s="12"/>
      <c r="CA27" s="12">
        <f>BV27</f>
        <v>75.862068965517238</v>
      </c>
      <c r="CB27" s="12"/>
      <c r="CC27" s="12">
        <f>BV27</f>
        <v>75.862068965517238</v>
      </c>
      <c r="CD27" s="12"/>
      <c r="CE27" s="12">
        <f>BV27</f>
        <v>75.862068965517238</v>
      </c>
      <c r="CF27" s="12"/>
      <c r="CG27" s="12">
        <f>BV27</f>
        <v>75.862068965517238</v>
      </c>
      <c r="CH27" s="12"/>
      <c r="CI27" s="12"/>
      <c r="CJ27" s="12">
        <f>BU27</f>
        <v>6600000</v>
      </c>
      <c r="CK27" s="12">
        <f>BS27</f>
        <v>12800000</v>
      </c>
    </row>
    <row r="28" spans="1:89" x14ac:dyDescent="0.3">
      <c r="A28" s="3" t="s">
        <v>79</v>
      </c>
      <c r="B28" s="4"/>
      <c r="C28" s="16" t="s">
        <v>164</v>
      </c>
      <c r="D28" s="16" t="s">
        <v>165</v>
      </c>
      <c r="E28" s="16" t="s">
        <v>166</v>
      </c>
      <c r="F28" s="16"/>
      <c r="G28" s="16"/>
      <c r="AL28" s="11" t="s">
        <v>53</v>
      </c>
      <c r="AM28" s="11" t="s">
        <v>117</v>
      </c>
      <c r="AN28" s="11" t="s">
        <v>89</v>
      </c>
      <c r="AO28" s="11">
        <v>1</v>
      </c>
      <c r="AP28" s="12">
        <f t="shared" si="15"/>
        <v>2500000</v>
      </c>
      <c r="AQ28" s="12">
        <f t="shared" si="16"/>
        <v>2500000</v>
      </c>
      <c r="AR28" s="15">
        <f t="shared" si="17"/>
        <v>1428571.7473754883</v>
      </c>
      <c r="AS28" s="12">
        <f t="shared" si="10"/>
        <v>3928571.7473754883</v>
      </c>
      <c r="AX28" s="11" t="s">
        <v>53</v>
      </c>
      <c r="AY28" s="11" t="s">
        <v>117</v>
      </c>
      <c r="AZ28" s="11" t="s">
        <v>89</v>
      </c>
      <c r="BA28" s="11">
        <f t="shared" si="11"/>
        <v>1</v>
      </c>
      <c r="BB28" s="14">
        <f t="shared" si="12"/>
        <v>0.125</v>
      </c>
      <c r="BC28" s="12">
        <f t="shared" si="18"/>
        <v>312500</v>
      </c>
      <c r="BD28" s="12">
        <f t="shared" si="13"/>
        <v>39062.5</v>
      </c>
      <c r="BE28" s="12">
        <f t="shared" si="13"/>
        <v>4882.8125</v>
      </c>
      <c r="BF28" s="12">
        <f t="shared" si="13"/>
        <v>610.3515625</v>
      </c>
      <c r="BG28" s="12">
        <f t="shared" si="13"/>
        <v>76.2939453125</v>
      </c>
      <c r="BH28" s="12">
        <f t="shared" si="13"/>
        <v>9.5367431640625</v>
      </c>
      <c r="BI28" s="12">
        <f t="shared" si="13"/>
        <v>1.1920928955078125</v>
      </c>
      <c r="BJ28" s="12">
        <f t="shared" si="14"/>
        <v>0</v>
      </c>
      <c r="BK28" s="12">
        <f t="shared" si="19"/>
        <v>357142.68684387207</v>
      </c>
      <c r="BN28" s="11" t="s">
        <v>77</v>
      </c>
      <c r="BO28" s="11" t="s">
        <v>35</v>
      </c>
      <c r="BP28" s="11" t="s">
        <v>57</v>
      </c>
      <c r="BQ28" s="11" t="s">
        <v>74</v>
      </c>
      <c r="BR28" s="12">
        <v>3400000</v>
      </c>
      <c r="BS28" s="12">
        <v>3400000</v>
      </c>
      <c r="BT28" s="12">
        <v>0</v>
      </c>
      <c r="BU28" s="12">
        <v>3400000</v>
      </c>
      <c r="BV28" s="12">
        <v>35.789473684210527</v>
      </c>
      <c r="BW28" s="12">
        <v>0</v>
      </c>
      <c r="BX28" s="12"/>
      <c r="BY28" s="12">
        <f t="shared" ref="BY28:BY37" si="20">BV28</f>
        <v>35.789473684210527</v>
      </c>
      <c r="BZ28" s="12"/>
      <c r="CA28" s="12">
        <f t="shared" ref="CA28:CA37" si="21">BV28</f>
        <v>35.789473684210527</v>
      </c>
      <c r="CB28" s="12"/>
      <c r="CC28" s="12">
        <f t="shared" ref="CC28:CC37" si="22">BV28</f>
        <v>35.789473684210527</v>
      </c>
      <c r="CD28" s="12"/>
      <c r="CE28" s="12">
        <f t="shared" ref="CE28:CE37" si="23">BV28</f>
        <v>35.789473684210527</v>
      </c>
      <c r="CF28" s="12"/>
      <c r="CG28" s="12">
        <f t="shared" ref="CG28:CG37" si="24">BV28</f>
        <v>35.789473684210527</v>
      </c>
      <c r="CH28" s="12"/>
      <c r="CI28" s="12"/>
      <c r="CJ28" s="12">
        <f t="shared" ref="CJ28:CJ37" si="25">BU28</f>
        <v>3400000</v>
      </c>
      <c r="CK28" s="12">
        <f t="shared" ref="CK28:CK42" si="26">BS28</f>
        <v>3400000</v>
      </c>
    </row>
    <row r="29" spans="1:89" x14ac:dyDescent="0.3">
      <c r="A29" s="17"/>
      <c r="B29" s="18">
        <v>1</v>
      </c>
      <c r="C29" s="19" t="s">
        <v>3</v>
      </c>
      <c r="D29" s="19" t="s">
        <v>131</v>
      </c>
      <c r="E29" s="20"/>
      <c r="F29" s="20"/>
      <c r="G29" s="20"/>
      <c r="AL29" s="11" t="s">
        <v>23</v>
      </c>
      <c r="AM29" s="11" t="s">
        <v>117</v>
      </c>
      <c r="AN29" s="11" t="s">
        <v>89</v>
      </c>
      <c r="AO29" s="11">
        <v>1</v>
      </c>
      <c r="AP29" s="12">
        <f t="shared" si="15"/>
        <v>2500000</v>
      </c>
      <c r="AQ29" s="12">
        <f t="shared" si="16"/>
        <v>2500000</v>
      </c>
      <c r="AR29" s="15">
        <f t="shared" si="17"/>
        <v>0</v>
      </c>
      <c r="AS29" s="12">
        <f t="shared" si="10"/>
        <v>2500000</v>
      </c>
      <c r="AX29" s="11" t="s">
        <v>23</v>
      </c>
      <c r="AY29" s="11" t="s">
        <v>117</v>
      </c>
      <c r="AZ29" s="11" t="s">
        <v>89</v>
      </c>
      <c r="BA29" s="11">
        <f t="shared" si="11"/>
        <v>1</v>
      </c>
      <c r="BB29" s="14">
        <f t="shared" si="12"/>
        <v>0.125</v>
      </c>
      <c r="BC29" s="12">
        <f t="shared" si="18"/>
        <v>312500</v>
      </c>
      <c r="BD29" s="12">
        <f t="shared" si="13"/>
        <v>39062.5</v>
      </c>
      <c r="BE29" s="12">
        <f t="shared" si="13"/>
        <v>4882.8125</v>
      </c>
      <c r="BF29" s="12">
        <f t="shared" si="13"/>
        <v>610.3515625</v>
      </c>
      <c r="BG29" s="12">
        <f t="shared" si="13"/>
        <v>76.2939453125</v>
      </c>
      <c r="BH29" s="12">
        <f t="shared" si="13"/>
        <v>9.5367431640625</v>
      </c>
      <c r="BI29" s="12">
        <f t="shared" si="13"/>
        <v>1.1920928955078125</v>
      </c>
      <c r="BJ29" s="12">
        <f t="shared" si="14"/>
        <v>0</v>
      </c>
      <c r="BK29" s="11">
        <v>0</v>
      </c>
      <c r="BN29" s="11" t="s">
        <v>77</v>
      </c>
      <c r="BO29" s="11" t="s">
        <v>35</v>
      </c>
      <c r="BP29" s="11" t="s">
        <v>61</v>
      </c>
      <c r="BQ29" s="11" t="s">
        <v>61</v>
      </c>
      <c r="BR29" s="12">
        <v>15400000</v>
      </c>
      <c r="BS29" s="12">
        <v>15400000</v>
      </c>
      <c r="BT29" s="12">
        <v>9700000</v>
      </c>
      <c r="BU29" s="12">
        <v>5700000</v>
      </c>
      <c r="BV29" s="12">
        <v>74.025974025974023</v>
      </c>
      <c r="BW29" s="12">
        <v>0</v>
      </c>
      <c r="BX29" s="12"/>
      <c r="BY29" s="12">
        <f t="shared" si="20"/>
        <v>74.025974025974023</v>
      </c>
      <c r="BZ29" s="12"/>
      <c r="CA29" s="12">
        <f t="shared" si="21"/>
        <v>74.025974025974023</v>
      </c>
      <c r="CB29" s="12"/>
      <c r="CC29" s="12">
        <f t="shared" si="22"/>
        <v>74.025974025974023</v>
      </c>
      <c r="CD29" s="12"/>
      <c r="CE29" s="12">
        <f t="shared" si="23"/>
        <v>74.025974025974023</v>
      </c>
      <c r="CF29" s="12"/>
      <c r="CG29" s="12">
        <f t="shared" si="24"/>
        <v>74.025974025974023</v>
      </c>
      <c r="CH29" s="12"/>
      <c r="CI29" s="12"/>
      <c r="CJ29" s="12">
        <f t="shared" si="25"/>
        <v>5700000</v>
      </c>
      <c r="CK29" s="12">
        <f t="shared" si="26"/>
        <v>15400000</v>
      </c>
    </row>
    <row r="30" spans="1:89" x14ac:dyDescent="0.3">
      <c r="A30" s="17"/>
      <c r="B30" s="18">
        <v>2</v>
      </c>
      <c r="C30" s="19" t="s">
        <v>132</v>
      </c>
      <c r="D30" s="19" t="s">
        <v>83</v>
      </c>
      <c r="E30" s="20"/>
      <c r="F30" s="20"/>
      <c r="G30" s="20"/>
      <c r="AL30" s="22" t="s">
        <v>118</v>
      </c>
      <c r="AM30" s="22"/>
      <c r="AN30" s="22"/>
      <c r="AO30" s="22"/>
      <c r="AP30" s="23"/>
      <c r="AQ30" s="23">
        <f>SUM(AQ18:AQ29)</f>
        <v>50000000</v>
      </c>
      <c r="AR30" s="23">
        <f>SUM(AR18:AR29)</f>
        <v>10000000.231628418</v>
      </c>
      <c r="AS30" s="23">
        <f>SUM(AS18:AS29)</f>
        <v>60000000.231628418</v>
      </c>
      <c r="AX30" s="11" t="s">
        <v>118</v>
      </c>
      <c r="AY30" s="11"/>
      <c r="AZ30" s="11"/>
      <c r="BA30" s="11"/>
      <c r="BB30" s="11"/>
      <c r="BC30" s="12">
        <f t="shared" ref="BC30:BK30" si="27">SUM(BC18:BC29)</f>
        <v>2500000</v>
      </c>
      <c r="BD30" s="12">
        <f t="shared" si="27"/>
        <v>312500</v>
      </c>
      <c r="BE30" s="12">
        <f t="shared" si="27"/>
        <v>39062.5</v>
      </c>
      <c r="BF30" s="12">
        <f t="shared" si="27"/>
        <v>4882.8125</v>
      </c>
      <c r="BG30" s="12">
        <f t="shared" si="27"/>
        <v>610.3515625</v>
      </c>
      <c r="BH30" s="12">
        <f t="shared" si="27"/>
        <v>76.2939453125</v>
      </c>
      <c r="BI30" s="12">
        <f t="shared" si="27"/>
        <v>9.5367431640625</v>
      </c>
      <c r="BJ30" s="12">
        <f t="shared" si="27"/>
        <v>0</v>
      </c>
      <c r="BK30" s="12">
        <f t="shared" si="27"/>
        <v>2499998.8079071045</v>
      </c>
      <c r="BN30" s="11" t="s">
        <v>77</v>
      </c>
      <c r="BO30" s="11" t="s">
        <v>35</v>
      </c>
      <c r="BP30" s="11" t="s">
        <v>61</v>
      </c>
      <c r="BQ30" s="11" t="s">
        <v>74</v>
      </c>
      <c r="BR30" s="12">
        <v>5200000</v>
      </c>
      <c r="BS30" s="12">
        <v>5200000</v>
      </c>
      <c r="BT30" s="12">
        <v>0</v>
      </c>
      <c r="BU30" s="12">
        <v>5200000</v>
      </c>
      <c r="BV30" s="12">
        <v>54.736842105263158</v>
      </c>
      <c r="BW30" s="12">
        <v>0</v>
      </c>
      <c r="BX30" s="12"/>
      <c r="BY30" s="12">
        <f t="shared" si="20"/>
        <v>54.736842105263158</v>
      </c>
      <c r="BZ30" s="12"/>
      <c r="CA30" s="12">
        <f t="shared" si="21"/>
        <v>54.736842105263158</v>
      </c>
      <c r="CB30" s="12"/>
      <c r="CC30" s="12">
        <f t="shared" si="22"/>
        <v>54.736842105263158</v>
      </c>
      <c r="CD30" s="12"/>
      <c r="CE30" s="12">
        <f t="shared" si="23"/>
        <v>54.736842105263158</v>
      </c>
      <c r="CF30" s="12"/>
      <c r="CG30" s="12">
        <f t="shared" si="24"/>
        <v>54.736842105263158</v>
      </c>
      <c r="CH30" s="12"/>
      <c r="CI30" s="12"/>
      <c r="CJ30" s="12">
        <f t="shared" si="25"/>
        <v>5200000</v>
      </c>
      <c r="CK30" s="12">
        <f t="shared" si="26"/>
        <v>5200000</v>
      </c>
    </row>
    <row r="31" spans="1:89" x14ac:dyDescent="0.3">
      <c r="A31" s="17"/>
      <c r="B31" s="18">
        <v>3</v>
      </c>
      <c r="C31" s="19" t="s">
        <v>133</v>
      </c>
      <c r="D31" s="19" t="s">
        <v>134</v>
      </c>
      <c r="E31" s="20"/>
      <c r="F31" s="20"/>
      <c r="G31" s="20"/>
      <c r="BN31" s="11" t="s">
        <v>77</v>
      </c>
      <c r="BO31" s="11" t="s">
        <v>35</v>
      </c>
      <c r="BP31" s="11" t="s">
        <v>61</v>
      </c>
      <c r="BQ31" s="11" t="s">
        <v>76</v>
      </c>
      <c r="BR31" s="12">
        <v>1700000</v>
      </c>
      <c r="BS31" s="12">
        <v>1700000</v>
      </c>
      <c r="BT31" s="12">
        <v>0</v>
      </c>
      <c r="BU31" s="12">
        <v>1700000</v>
      </c>
      <c r="BV31" s="12">
        <v>19.101123595505619</v>
      </c>
      <c r="BW31" s="12">
        <v>0</v>
      </c>
      <c r="BX31" s="12"/>
      <c r="BY31" s="12">
        <f t="shared" si="20"/>
        <v>19.101123595505619</v>
      </c>
      <c r="BZ31" s="12"/>
      <c r="CA31" s="12">
        <f t="shared" si="21"/>
        <v>19.101123595505619</v>
      </c>
      <c r="CB31" s="12"/>
      <c r="CC31" s="12">
        <f t="shared" si="22"/>
        <v>19.101123595505619</v>
      </c>
      <c r="CD31" s="12"/>
      <c r="CE31" s="12">
        <f t="shared" si="23"/>
        <v>19.101123595505619</v>
      </c>
      <c r="CF31" s="12"/>
      <c r="CG31" s="12">
        <f t="shared" si="24"/>
        <v>19.101123595505619</v>
      </c>
      <c r="CH31" s="12"/>
      <c r="CI31" s="12"/>
      <c r="CJ31" s="12">
        <f t="shared" si="25"/>
        <v>1700000</v>
      </c>
      <c r="CK31" s="12">
        <f t="shared" si="26"/>
        <v>1700000</v>
      </c>
    </row>
    <row r="32" spans="1:89" x14ac:dyDescent="0.3">
      <c r="A32" s="17"/>
      <c r="B32" s="18">
        <v>4</v>
      </c>
      <c r="C32" s="19" t="s">
        <v>135</v>
      </c>
      <c r="D32" s="19" t="s">
        <v>136</v>
      </c>
      <c r="E32" s="20"/>
      <c r="F32" s="20"/>
      <c r="G32" s="20"/>
      <c r="BN32" s="11" t="s">
        <v>77</v>
      </c>
      <c r="BO32" s="11" t="s">
        <v>35</v>
      </c>
      <c r="BP32" s="11" t="s">
        <v>74</v>
      </c>
      <c r="BQ32" s="11" t="s">
        <v>57</v>
      </c>
      <c r="BR32" s="12">
        <v>5200000</v>
      </c>
      <c r="BS32" s="12">
        <v>5200000</v>
      </c>
      <c r="BT32" s="12">
        <v>0</v>
      </c>
      <c r="BU32" s="12">
        <v>5200000</v>
      </c>
      <c r="BV32" s="12">
        <v>59.770114942528735</v>
      </c>
      <c r="BW32" s="12">
        <v>0</v>
      </c>
      <c r="BX32" s="12"/>
      <c r="BY32" s="12">
        <f t="shared" si="20"/>
        <v>59.770114942528735</v>
      </c>
      <c r="BZ32" s="12"/>
      <c r="CA32" s="12">
        <f t="shared" si="21"/>
        <v>59.770114942528735</v>
      </c>
      <c r="CB32" s="12"/>
      <c r="CC32" s="12">
        <f t="shared" si="22"/>
        <v>59.770114942528735</v>
      </c>
      <c r="CD32" s="12"/>
      <c r="CE32" s="12">
        <f t="shared" si="23"/>
        <v>59.770114942528735</v>
      </c>
      <c r="CF32" s="12"/>
      <c r="CG32" s="12">
        <f t="shared" si="24"/>
        <v>59.770114942528735</v>
      </c>
      <c r="CH32" s="12"/>
      <c r="CI32" s="12"/>
      <c r="CJ32" s="12">
        <f t="shared" si="25"/>
        <v>5200000</v>
      </c>
      <c r="CK32" s="12">
        <f t="shared" si="26"/>
        <v>5200000</v>
      </c>
    </row>
    <row r="33" spans="1:89" x14ac:dyDescent="0.3">
      <c r="A33" s="17"/>
      <c r="B33" s="18">
        <v>5</v>
      </c>
      <c r="C33" s="19" t="s">
        <v>137</v>
      </c>
      <c r="D33" s="19" t="s">
        <v>97</v>
      </c>
      <c r="E33" s="20"/>
      <c r="F33" s="20"/>
      <c r="G33" s="20"/>
      <c r="BN33" s="11" t="s">
        <v>77</v>
      </c>
      <c r="BO33" s="11" t="s">
        <v>35</v>
      </c>
      <c r="BP33" s="11" t="s">
        <v>74</v>
      </c>
      <c r="BQ33" s="11" t="s">
        <v>74</v>
      </c>
      <c r="BR33" s="12">
        <v>12300000</v>
      </c>
      <c r="BS33" s="12">
        <v>12300000</v>
      </c>
      <c r="BT33" s="12">
        <v>6000000</v>
      </c>
      <c r="BU33" s="12">
        <v>6300000</v>
      </c>
      <c r="BV33" s="12">
        <v>66.315789473684205</v>
      </c>
      <c r="BW33" s="12">
        <v>0</v>
      </c>
      <c r="BX33" s="12"/>
      <c r="BY33" s="12">
        <f t="shared" si="20"/>
        <v>66.315789473684205</v>
      </c>
      <c r="BZ33" s="12"/>
      <c r="CA33" s="12">
        <f t="shared" si="21"/>
        <v>66.315789473684205</v>
      </c>
      <c r="CB33" s="12"/>
      <c r="CC33" s="12">
        <f t="shared" si="22"/>
        <v>66.315789473684205</v>
      </c>
      <c r="CD33" s="12"/>
      <c r="CE33" s="12">
        <f t="shared" si="23"/>
        <v>66.315789473684205</v>
      </c>
      <c r="CF33" s="12"/>
      <c r="CG33" s="12">
        <f t="shared" si="24"/>
        <v>66.315789473684205</v>
      </c>
      <c r="CH33" s="12"/>
      <c r="CI33" s="12"/>
      <c r="CJ33" s="12">
        <f t="shared" si="25"/>
        <v>6300000</v>
      </c>
      <c r="CK33" s="12">
        <f t="shared" si="26"/>
        <v>12300000</v>
      </c>
    </row>
    <row r="34" spans="1:89" x14ac:dyDescent="0.3">
      <c r="A34" s="17"/>
      <c r="B34" s="18">
        <v>6</v>
      </c>
      <c r="C34" s="19" t="s">
        <v>138</v>
      </c>
      <c r="D34" s="19" t="s">
        <v>142</v>
      </c>
      <c r="E34" s="20"/>
      <c r="F34" s="20"/>
      <c r="G34" s="20"/>
      <c r="BN34" s="11" t="s">
        <v>77</v>
      </c>
      <c r="BO34" s="11" t="s">
        <v>35</v>
      </c>
      <c r="BP34" s="11" t="s">
        <v>74</v>
      </c>
      <c r="BQ34" s="11" t="s">
        <v>76</v>
      </c>
      <c r="BR34" s="12">
        <v>5200000</v>
      </c>
      <c r="BS34" s="12">
        <v>5200000</v>
      </c>
      <c r="BT34" s="12">
        <v>0</v>
      </c>
      <c r="BU34" s="12">
        <v>5200000</v>
      </c>
      <c r="BV34" s="12">
        <v>58.426966292134829</v>
      </c>
      <c r="BW34" s="12">
        <v>0</v>
      </c>
      <c r="BX34" s="12"/>
      <c r="BY34" s="12">
        <f t="shared" si="20"/>
        <v>58.426966292134829</v>
      </c>
      <c r="BZ34" s="12"/>
      <c r="CA34" s="12">
        <f t="shared" si="21"/>
        <v>58.426966292134829</v>
      </c>
      <c r="CB34" s="12"/>
      <c r="CC34" s="12">
        <f t="shared" si="22"/>
        <v>58.426966292134829</v>
      </c>
      <c r="CD34" s="12"/>
      <c r="CE34" s="12">
        <f t="shared" si="23"/>
        <v>58.426966292134829</v>
      </c>
      <c r="CF34" s="12"/>
      <c r="CG34" s="12">
        <f t="shared" si="24"/>
        <v>58.426966292134829</v>
      </c>
      <c r="CH34" s="12"/>
      <c r="CI34" s="12"/>
      <c r="CJ34" s="12">
        <f t="shared" si="25"/>
        <v>5200000</v>
      </c>
      <c r="CK34" s="12">
        <f t="shared" si="26"/>
        <v>5200000</v>
      </c>
    </row>
    <row r="35" spans="1:89" x14ac:dyDescent="0.3">
      <c r="A35" s="17"/>
      <c r="B35" s="18">
        <v>7</v>
      </c>
      <c r="C35" s="19" t="s">
        <v>140</v>
      </c>
      <c r="D35" s="19" t="s">
        <v>141</v>
      </c>
      <c r="E35" s="20"/>
      <c r="F35" s="20"/>
      <c r="G35" s="20"/>
      <c r="AL35" t="s">
        <v>48</v>
      </c>
      <c r="AX35" t="s">
        <v>2</v>
      </c>
      <c r="BN35" s="11" t="s">
        <v>77</v>
      </c>
      <c r="BO35" s="11" t="s">
        <v>35</v>
      </c>
      <c r="BP35" s="11" t="s">
        <v>76</v>
      </c>
      <c r="BQ35" s="11" t="s">
        <v>57</v>
      </c>
      <c r="BR35" s="12">
        <v>5000000</v>
      </c>
      <c r="BS35" s="12">
        <v>5000000</v>
      </c>
      <c r="BT35" s="12">
        <v>0</v>
      </c>
      <c r="BU35" s="12">
        <v>5000000</v>
      </c>
      <c r="BV35" s="12">
        <v>57.47126436781609</v>
      </c>
      <c r="BW35" s="12">
        <v>0</v>
      </c>
      <c r="BX35" s="12"/>
      <c r="BY35" s="12">
        <f t="shared" si="20"/>
        <v>57.47126436781609</v>
      </c>
      <c r="BZ35" s="12"/>
      <c r="CA35" s="12">
        <f t="shared" si="21"/>
        <v>57.47126436781609</v>
      </c>
      <c r="CB35" s="12"/>
      <c r="CC35" s="12">
        <f t="shared" si="22"/>
        <v>57.47126436781609</v>
      </c>
      <c r="CD35" s="12"/>
      <c r="CE35" s="12">
        <f t="shared" si="23"/>
        <v>57.47126436781609</v>
      </c>
      <c r="CF35" s="12"/>
      <c r="CG35" s="12">
        <f t="shared" si="24"/>
        <v>57.47126436781609</v>
      </c>
      <c r="CH35" s="12"/>
      <c r="CI35" s="12"/>
      <c r="CJ35" s="12">
        <f t="shared" si="25"/>
        <v>5000000</v>
      </c>
      <c r="CK35" s="12">
        <f t="shared" si="26"/>
        <v>5000000</v>
      </c>
    </row>
    <row r="36" spans="1:89" x14ac:dyDescent="0.3">
      <c r="A36" s="17"/>
      <c r="B36" s="18">
        <v>8</v>
      </c>
      <c r="C36" s="19" t="s">
        <v>143</v>
      </c>
      <c r="D36" s="19" t="s">
        <v>144</v>
      </c>
      <c r="E36" s="20"/>
      <c r="F36" s="20"/>
      <c r="G36" s="20"/>
      <c r="AL36" s="10" t="s">
        <v>9</v>
      </c>
      <c r="AM36" s="10" t="s">
        <v>17</v>
      </c>
      <c r="AN36" s="10" t="s">
        <v>18</v>
      </c>
      <c r="AO36" s="10" t="s">
        <v>19</v>
      </c>
      <c r="AP36" s="9" t="s">
        <v>13</v>
      </c>
      <c r="AQ36" s="9" t="s">
        <v>14</v>
      </c>
      <c r="AR36" s="9" t="s">
        <v>15</v>
      </c>
      <c r="AS36" s="9" t="s">
        <v>16</v>
      </c>
      <c r="AX36" s="10" t="s">
        <v>9</v>
      </c>
      <c r="AY36" s="10" t="s">
        <v>17</v>
      </c>
      <c r="AZ36" s="10" t="s">
        <v>18</v>
      </c>
      <c r="BA36" s="10" t="s">
        <v>19</v>
      </c>
      <c r="BB36" s="10" t="s">
        <v>119</v>
      </c>
      <c r="BC36" s="10" t="s">
        <v>21</v>
      </c>
      <c r="BD36" s="9" t="s">
        <v>13</v>
      </c>
      <c r="BE36" s="9" t="s">
        <v>14</v>
      </c>
      <c r="BF36" s="9" t="s">
        <v>15</v>
      </c>
      <c r="BG36" s="9" t="s">
        <v>16</v>
      </c>
      <c r="BN36" s="11" t="s">
        <v>77</v>
      </c>
      <c r="BO36" s="11" t="s">
        <v>35</v>
      </c>
      <c r="BP36" s="11" t="s">
        <v>76</v>
      </c>
      <c r="BQ36" s="11" t="s">
        <v>61</v>
      </c>
      <c r="BR36" s="12">
        <v>3800000</v>
      </c>
      <c r="BS36" s="12">
        <v>3800000</v>
      </c>
      <c r="BT36" s="12">
        <v>0</v>
      </c>
      <c r="BU36" s="12">
        <v>3800000</v>
      </c>
      <c r="BV36" s="12">
        <v>49.350649350649348</v>
      </c>
      <c r="BW36" s="12">
        <v>0</v>
      </c>
      <c r="BX36" s="12"/>
      <c r="BY36" s="12">
        <f t="shared" si="20"/>
        <v>49.350649350649348</v>
      </c>
      <c r="BZ36" s="12"/>
      <c r="CA36" s="12">
        <f t="shared" si="21"/>
        <v>49.350649350649348</v>
      </c>
      <c r="CB36" s="12"/>
      <c r="CC36" s="12">
        <f t="shared" si="22"/>
        <v>49.350649350649348</v>
      </c>
      <c r="CD36" s="12"/>
      <c r="CE36" s="12">
        <f t="shared" si="23"/>
        <v>49.350649350649348</v>
      </c>
      <c r="CF36" s="12"/>
      <c r="CG36" s="12">
        <f t="shared" si="24"/>
        <v>49.350649350649348</v>
      </c>
      <c r="CH36" s="12"/>
      <c r="CI36" s="12"/>
      <c r="CJ36" s="12">
        <f t="shared" si="25"/>
        <v>3800000</v>
      </c>
      <c r="CK36" s="12">
        <f t="shared" si="26"/>
        <v>3800000</v>
      </c>
    </row>
    <row r="37" spans="1:89" x14ac:dyDescent="0.3">
      <c r="A37" s="17"/>
      <c r="B37" s="18" t="s">
        <v>139</v>
      </c>
      <c r="C37" s="19"/>
      <c r="D37" s="19"/>
      <c r="E37" s="20"/>
      <c r="F37" s="20"/>
      <c r="G37" s="20"/>
      <c r="AL37" s="11" t="str">
        <f t="shared" ref="AL37:AN48" si="28">AL18</f>
        <v>정형1</v>
      </c>
      <c r="AM37" s="11" t="str">
        <f t="shared" si="28"/>
        <v>의사직</v>
      </c>
      <c r="AN37" s="11" t="str">
        <f t="shared" si="28"/>
        <v>외래활동</v>
      </c>
      <c r="AO37" s="12">
        <f t="shared" ref="AO37:AO48" si="29">AS18</f>
        <v>5500000</v>
      </c>
      <c r="AP37" s="12" t="s">
        <v>26</v>
      </c>
      <c r="AQ37" s="11" t="s">
        <v>55</v>
      </c>
      <c r="AR37" s="11" t="s">
        <v>51</v>
      </c>
      <c r="AS37" s="11" t="s">
        <v>56</v>
      </c>
      <c r="AX37" s="11" t="s">
        <v>57</v>
      </c>
      <c r="AY37" s="11" t="s">
        <v>90</v>
      </c>
      <c r="AZ37" s="11" t="s">
        <v>45</v>
      </c>
      <c r="BA37" s="12">
        <f>AO37</f>
        <v>5500000</v>
      </c>
      <c r="BB37" s="12">
        <f>BK18</f>
        <v>178571.34342193604</v>
      </c>
      <c r="BC37" s="12">
        <f>SUM(BA37:BB37)</f>
        <v>5678571.343421936</v>
      </c>
      <c r="BD37" s="12" t="s">
        <v>26</v>
      </c>
      <c r="BE37" s="11" t="s">
        <v>55</v>
      </c>
      <c r="BF37" s="11" t="s">
        <v>51</v>
      </c>
      <c r="BG37" s="11" t="s">
        <v>56</v>
      </c>
      <c r="BN37" s="11" t="s">
        <v>77</v>
      </c>
      <c r="BO37" s="11" t="s">
        <v>35</v>
      </c>
      <c r="BP37" s="11" t="s">
        <v>76</v>
      </c>
      <c r="BQ37" s="11" t="s">
        <v>76</v>
      </c>
      <c r="BR37" s="12">
        <v>13900000</v>
      </c>
      <c r="BS37" s="12">
        <v>13900000</v>
      </c>
      <c r="BT37" s="12">
        <v>7500000</v>
      </c>
      <c r="BU37" s="12">
        <v>6400000</v>
      </c>
      <c r="BV37" s="12">
        <v>71.910112359550567</v>
      </c>
      <c r="BW37" s="12">
        <v>0</v>
      </c>
      <c r="BX37" s="12"/>
      <c r="BY37" s="12">
        <f t="shared" si="20"/>
        <v>71.910112359550567</v>
      </c>
      <c r="BZ37" s="12"/>
      <c r="CA37" s="12">
        <f t="shared" si="21"/>
        <v>71.910112359550567</v>
      </c>
      <c r="CB37" s="12"/>
      <c r="CC37" s="12">
        <f t="shared" si="22"/>
        <v>71.910112359550567</v>
      </c>
      <c r="CD37" s="12"/>
      <c r="CE37" s="12">
        <f t="shared" si="23"/>
        <v>71.910112359550567</v>
      </c>
      <c r="CF37" s="12"/>
      <c r="CG37" s="12">
        <f t="shared" si="24"/>
        <v>71.910112359550567</v>
      </c>
      <c r="CH37" s="12"/>
      <c r="CI37" s="12"/>
      <c r="CJ37" s="12">
        <f t="shared" si="25"/>
        <v>6400000</v>
      </c>
      <c r="CK37" s="12">
        <f t="shared" si="26"/>
        <v>13900000</v>
      </c>
    </row>
    <row r="38" spans="1:89" x14ac:dyDescent="0.3">
      <c r="A38" s="17"/>
      <c r="B38" s="18" t="s">
        <v>139</v>
      </c>
      <c r="C38" s="19"/>
      <c r="D38" s="19"/>
      <c r="E38" s="20"/>
      <c r="F38" s="20"/>
      <c r="G38" s="20"/>
      <c r="AL38" s="11" t="str">
        <f t="shared" si="28"/>
        <v>정형1</v>
      </c>
      <c r="AM38" s="11" t="str">
        <f t="shared" si="28"/>
        <v>의사직</v>
      </c>
      <c r="AN38" s="11" t="str">
        <f t="shared" si="28"/>
        <v>검사활동</v>
      </c>
      <c r="AO38" s="12">
        <f t="shared" si="29"/>
        <v>5500000</v>
      </c>
      <c r="AP38" s="12" t="s">
        <v>26</v>
      </c>
      <c r="AQ38" s="11" t="s">
        <v>50</v>
      </c>
      <c r="AR38" s="11" t="s">
        <v>51</v>
      </c>
      <c r="AS38" s="11" t="s">
        <v>35</v>
      </c>
      <c r="AX38" s="11" t="s">
        <v>57</v>
      </c>
      <c r="AY38" s="11" t="s">
        <v>90</v>
      </c>
      <c r="AZ38" s="11" t="s">
        <v>54</v>
      </c>
      <c r="BA38" s="12">
        <f t="shared" ref="BA38:BA48" si="30">AO38</f>
        <v>5500000</v>
      </c>
      <c r="BB38" s="12">
        <f t="shared" ref="BB38:BB47" si="31">BK19</f>
        <v>178571.34342193604</v>
      </c>
      <c r="BC38" s="12">
        <f t="shared" ref="BC38:BC48" si="32">SUM(BA38:BB38)</f>
        <v>5678571.343421936</v>
      </c>
      <c r="BD38" s="12" t="s">
        <v>26</v>
      </c>
      <c r="BE38" s="11" t="s">
        <v>50</v>
      </c>
      <c r="BF38" s="11" t="s">
        <v>51</v>
      </c>
      <c r="BG38" s="11" t="s">
        <v>35</v>
      </c>
      <c r="BN38" s="11" t="s">
        <v>77</v>
      </c>
      <c r="BO38" s="11" t="s">
        <v>77</v>
      </c>
      <c r="BP38" s="11" t="s">
        <v>57</v>
      </c>
      <c r="BQ38" s="11" t="s">
        <v>57</v>
      </c>
      <c r="BR38" s="12">
        <v>12300000</v>
      </c>
      <c r="BS38" s="12">
        <v>12300000</v>
      </c>
      <c r="BT38" s="12">
        <v>6700000</v>
      </c>
      <c r="BU38" s="12">
        <v>5600000</v>
      </c>
      <c r="BV38" s="12">
        <v>0</v>
      </c>
      <c r="BW38" s="12">
        <v>254.5454545454545</v>
      </c>
      <c r="BX38" s="12">
        <f>BW38</f>
        <v>254.5454545454545</v>
      </c>
      <c r="BY38" s="12"/>
      <c r="BZ38" s="12">
        <f>BW38</f>
        <v>254.5454545454545</v>
      </c>
      <c r="CA38" s="12"/>
      <c r="CB38" s="12">
        <f>BW38</f>
        <v>254.5454545454545</v>
      </c>
      <c r="CC38" s="12"/>
      <c r="CD38" s="12">
        <f>BW38</f>
        <v>254.5454545454545</v>
      </c>
      <c r="CE38" s="12"/>
      <c r="CF38" s="12">
        <f>BW38</f>
        <v>254.5454545454545</v>
      </c>
      <c r="CG38" s="12"/>
      <c r="CH38" s="12">
        <f>BW38</f>
        <v>254.5454545454545</v>
      </c>
      <c r="CI38" s="12">
        <f>BU38</f>
        <v>5600000</v>
      </c>
      <c r="CJ38" s="12"/>
      <c r="CK38" s="12">
        <f t="shared" si="26"/>
        <v>12300000</v>
      </c>
    </row>
    <row r="39" spans="1:89" x14ac:dyDescent="0.3">
      <c r="A39" s="17"/>
      <c r="B39" s="18" t="s">
        <v>139</v>
      </c>
      <c r="C39" s="19"/>
      <c r="D39" s="19"/>
      <c r="E39" s="20"/>
      <c r="F39" s="20"/>
      <c r="G39" s="20"/>
      <c r="AL39" s="11" t="str">
        <f t="shared" si="28"/>
        <v>정형2</v>
      </c>
      <c r="AM39" s="11" t="str">
        <f t="shared" si="28"/>
        <v>의사직</v>
      </c>
      <c r="AN39" s="11" t="str">
        <f t="shared" si="28"/>
        <v>외래활동</v>
      </c>
      <c r="AO39" s="12">
        <f t="shared" si="29"/>
        <v>6000000</v>
      </c>
      <c r="AP39" s="12" t="s">
        <v>26</v>
      </c>
      <c r="AQ39" s="11" t="s">
        <v>55</v>
      </c>
      <c r="AR39" s="11" t="s">
        <v>51</v>
      </c>
      <c r="AS39" s="11" t="s">
        <v>35</v>
      </c>
      <c r="AX39" s="11" t="s">
        <v>61</v>
      </c>
      <c r="AY39" s="11" t="s">
        <v>90</v>
      </c>
      <c r="AZ39" s="11" t="s">
        <v>45</v>
      </c>
      <c r="BA39" s="12">
        <f t="shared" si="30"/>
        <v>6000000</v>
      </c>
      <c r="BB39" s="12">
        <f t="shared" si="31"/>
        <v>214285.61210632324</v>
      </c>
      <c r="BC39" s="12">
        <f t="shared" si="32"/>
        <v>6214285.6121063232</v>
      </c>
      <c r="BD39" s="12" t="s">
        <v>26</v>
      </c>
      <c r="BE39" s="11" t="s">
        <v>55</v>
      </c>
      <c r="BF39" s="11" t="s">
        <v>51</v>
      </c>
      <c r="BG39" s="11" t="s">
        <v>35</v>
      </c>
      <c r="BN39" s="11" t="s">
        <v>77</v>
      </c>
      <c r="BO39" s="11" t="s">
        <v>77</v>
      </c>
      <c r="BP39" s="11" t="s">
        <v>57</v>
      </c>
      <c r="BQ39" s="11" t="s">
        <v>61</v>
      </c>
      <c r="BR39" s="12">
        <v>6900000</v>
      </c>
      <c r="BS39" s="12">
        <v>6900000</v>
      </c>
      <c r="BT39" s="12">
        <v>0</v>
      </c>
      <c r="BU39" s="12">
        <v>6900000</v>
      </c>
      <c r="BV39" s="12">
        <v>0</v>
      </c>
      <c r="BW39" s="12">
        <v>276</v>
      </c>
      <c r="BX39" s="12">
        <f t="shared" ref="BX39:BX42" si="33">BW39</f>
        <v>276</v>
      </c>
      <c r="BY39" s="12"/>
      <c r="BZ39" s="12">
        <f t="shared" ref="BZ39:BZ42" si="34">BW39</f>
        <v>276</v>
      </c>
      <c r="CA39" s="12"/>
      <c r="CB39" s="12">
        <f t="shared" ref="CB39:CB42" si="35">BW39</f>
        <v>276</v>
      </c>
      <c r="CC39" s="12"/>
      <c r="CD39" s="12">
        <f t="shared" ref="CD39:CD42" si="36">BW39</f>
        <v>276</v>
      </c>
      <c r="CE39" s="12"/>
      <c r="CF39" s="12">
        <f t="shared" ref="CF39:CF42" si="37">BW39</f>
        <v>276</v>
      </c>
      <c r="CG39" s="12"/>
      <c r="CH39" s="12">
        <f t="shared" ref="CH39:CH42" si="38">BW39</f>
        <v>276</v>
      </c>
      <c r="CI39" s="12">
        <f t="shared" ref="CI39:CI42" si="39">BU39</f>
        <v>6900000</v>
      </c>
      <c r="CJ39" s="12"/>
      <c r="CK39" s="12">
        <f t="shared" si="26"/>
        <v>6900000</v>
      </c>
    </row>
    <row r="40" spans="1:89" x14ac:dyDescent="0.3">
      <c r="A40" s="17"/>
      <c r="B40" s="18" t="s">
        <v>139</v>
      </c>
      <c r="C40" s="19"/>
      <c r="D40" s="19"/>
      <c r="E40" s="20"/>
      <c r="F40" s="20"/>
      <c r="G40" s="20"/>
      <c r="AL40" s="11" t="str">
        <f t="shared" si="28"/>
        <v>정형2</v>
      </c>
      <c r="AM40" s="11" t="str">
        <f t="shared" si="28"/>
        <v>의사직</v>
      </c>
      <c r="AN40" s="11" t="str">
        <f t="shared" si="28"/>
        <v>검사활동</v>
      </c>
      <c r="AO40" s="12">
        <f t="shared" si="29"/>
        <v>4000000</v>
      </c>
      <c r="AP40" s="12" t="s">
        <v>26</v>
      </c>
      <c r="AQ40" s="11" t="s">
        <v>46</v>
      </c>
      <c r="AR40" s="11" t="s">
        <v>120</v>
      </c>
      <c r="AS40" s="11" t="s">
        <v>57</v>
      </c>
      <c r="AX40" s="11" t="s">
        <v>61</v>
      </c>
      <c r="AY40" s="11" t="s">
        <v>90</v>
      </c>
      <c r="AZ40" s="11" t="s">
        <v>54</v>
      </c>
      <c r="BA40" s="12">
        <f t="shared" si="30"/>
        <v>4000000</v>
      </c>
      <c r="BB40" s="12">
        <f t="shared" si="31"/>
        <v>142857.07473754883</v>
      </c>
      <c r="BC40" s="12">
        <f t="shared" si="32"/>
        <v>4142857.0747375488</v>
      </c>
      <c r="BD40" s="12" t="s">
        <v>26</v>
      </c>
      <c r="BE40" s="11" t="s">
        <v>46</v>
      </c>
      <c r="BF40" s="11" t="s">
        <v>120</v>
      </c>
      <c r="BG40" s="11" t="s">
        <v>57</v>
      </c>
      <c r="BN40" s="11" t="s">
        <v>77</v>
      </c>
      <c r="BO40" s="11" t="s">
        <v>77</v>
      </c>
      <c r="BP40" s="11" t="s">
        <v>61</v>
      </c>
      <c r="BQ40" s="11" t="s">
        <v>61</v>
      </c>
      <c r="BR40" s="12">
        <v>15400000</v>
      </c>
      <c r="BS40" s="12">
        <v>15400000</v>
      </c>
      <c r="BT40" s="12">
        <v>8800000</v>
      </c>
      <c r="BU40" s="12">
        <v>6600000</v>
      </c>
      <c r="BV40" s="12">
        <v>0</v>
      </c>
      <c r="BW40" s="12">
        <v>264</v>
      </c>
      <c r="BX40" s="12">
        <f t="shared" si="33"/>
        <v>264</v>
      </c>
      <c r="BY40" s="12"/>
      <c r="BZ40" s="12">
        <f t="shared" si="34"/>
        <v>264</v>
      </c>
      <c r="CA40" s="12"/>
      <c r="CB40" s="12">
        <f t="shared" si="35"/>
        <v>264</v>
      </c>
      <c r="CC40" s="12"/>
      <c r="CD40" s="12">
        <f t="shared" si="36"/>
        <v>264</v>
      </c>
      <c r="CE40" s="12"/>
      <c r="CF40" s="12">
        <f t="shared" si="37"/>
        <v>264</v>
      </c>
      <c r="CG40" s="12"/>
      <c r="CH40" s="12">
        <f t="shared" si="38"/>
        <v>264</v>
      </c>
      <c r="CI40" s="12">
        <f t="shared" si="39"/>
        <v>6600000</v>
      </c>
      <c r="CJ40" s="12"/>
      <c r="CK40" s="12">
        <f t="shared" si="26"/>
        <v>15400000</v>
      </c>
    </row>
    <row r="41" spans="1:89" x14ac:dyDescent="0.3">
      <c r="A41" s="17"/>
      <c r="B41" s="18" t="s">
        <v>139</v>
      </c>
      <c r="C41" s="19"/>
      <c r="D41" s="19"/>
      <c r="E41" s="20"/>
      <c r="F41" s="20"/>
      <c r="G41" s="20"/>
      <c r="AL41" s="11" t="str">
        <f t="shared" si="28"/>
        <v>정형3</v>
      </c>
      <c r="AM41" s="11" t="str">
        <f t="shared" si="28"/>
        <v>의사직</v>
      </c>
      <c r="AN41" s="11" t="str">
        <f t="shared" si="28"/>
        <v>외래활동</v>
      </c>
      <c r="AO41" s="12">
        <f t="shared" si="29"/>
        <v>3600000</v>
      </c>
      <c r="AP41" s="12" t="s">
        <v>26</v>
      </c>
      <c r="AQ41" s="11" t="s">
        <v>55</v>
      </c>
      <c r="AR41" s="11" t="s">
        <v>51</v>
      </c>
      <c r="AS41" s="11" t="s">
        <v>35</v>
      </c>
      <c r="AX41" s="11" t="s">
        <v>74</v>
      </c>
      <c r="AY41" s="11" t="s">
        <v>90</v>
      </c>
      <c r="AZ41" s="11" t="s">
        <v>45</v>
      </c>
      <c r="BA41" s="12">
        <f t="shared" si="30"/>
        <v>3600000</v>
      </c>
      <c r="BB41" s="12">
        <f t="shared" si="31"/>
        <v>142857.07473754883</v>
      </c>
      <c r="BC41" s="12">
        <f t="shared" si="32"/>
        <v>3742857.0747375488</v>
      </c>
      <c r="BD41" s="12" t="s">
        <v>26</v>
      </c>
      <c r="BE41" s="11" t="s">
        <v>55</v>
      </c>
      <c r="BF41" s="11" t="s">
        <v>51</v>
      </c>
      <c r="BG41" s="11" t="s">
        <v>35</v>
      </c>
      <c r="BN41" s="11" t="s">
        <v>77</v>
      </c>
      <c r="BO41" s="11" t="s">
        <v>77</v>
      </c>
      <c r="BP41" s="11" t="s">
        <v>74</v>
      </c>
      <c r="BQ41" s="11" t="s">
        <v>74</v>
      </c>
      <c r="BR41" s="12">
        <v>15400000</v>
      </c>
      <c r="BS41" s="12">
        <v>15400000</v>
      </c>
      <c r="BT41" s="12">
        <v>8200000</v>
      </c>
      <c r="BU41" s="12">
        <v>7200000</v>
      </c>
      <c r="BV41" s="12">
        <v>0</v>
      </c>
      <c r="BW41" s="12">
        <v>276.92307692307691</v>
      </c>
      <c r="BX41" s="12">
        <f t="shared" si="33"/>
        <v>276.92307692307691</v>
      </c>
      <c r="BY41" s="12"/>
      <c r="BZ41" s="12">
        <f t="shared" si="34"/>
        <v>276.92307692307691</v>
      </c>
      <c r="CA41" s="12"/>
      <c r="CB41" s="12">
        <f t="shared" si="35"/>
        <v>276.92307692307691</v>
      </c>
      <c r="CC41" s="12"/>
      <c r="CD41" s="12">
        <f t="shared" si="36"/>
        <v>276.92307692307691</v>
      </c>
      <c r="CE41" s="12"/>
      <c r="CF41" s="12">
        <f t="shared" si="37"/>
        <v>276.92307692307691</v>
      </c>
      <c r="CG41" s="12"/>
      <c r="CH41" s="12">
        <f t="shared" si="38"/>
        <v>276.92307692307691</v>
      </c>
      <c r="CI41" s="12">
        <f t="shared" si="39"/>
        <v>7200000</v>
      </c>
      <c r="CJ41" s="12"/>
      <c r="CK41" s="12">
        <f t="shared" si="26"/>
        <v>15400000</v>
      </c>
    </row>
    <row r="42" spans="1:89" x14ac:dyDescent="0.3">
      <c r="A42" s="17"/>
      <c r="B42" s="18" t="s">
        <v>139</v>
      </c>
      <c r="C42" s="19"/>
      <c r="D42" s="19"/>
      <c r="E42" s="20"/>
      <c r="F42" s="20"/>
      <c r="G42" s="20"/>
      <c r="AL42" s="11" t="str">
        <f t="shared" si="28"/>
        <v>정형3</v>
      </c>
      <c r="AM42" s="11" t="str">
        <f t="shared" si="28"/>
        <v>의사직</v>
      </c>
      <c r="AN42" s="11" t="str">
        <f t="shared" si="28"/>
        <v>검사활동</v>
      </c>
      <c r="AO42" s="12">
        <f t="shared" si="29"/>
        <v>5400000</v>
      </c>
      <c r="AP42" s="12" t="s">
        <v>26</v>
      </c>
      <c r="AQ42" s="11" t="s">
        <v>46</v>
      </c>
      <c r="AR42" s="11" t="s">
        <v>120</v>
      </c>
      <c r="AS42" s="11" t="s">
        <v>61</v>
      </c>
      <c r="AX42" s="11" t="s">
        <v>74</v>
      </c>
      <c r="AY42" s="11" t="s">
        <v>90</v>
      </c>
      <c r="AZ42" s="11" t="s">
        <v>54</v>
      </c>
      <c r="BA42" s="12">
        <f t="shared" si="30"/>
        <v>5400000</v>
      </c>
      <c r="BB42" s="12">
        <f t="shared" si="31"/>
        <v>214285.61210632324</v>
      </c>
      <c r="BC42" s="12">
        <f t="shared" si="32"/>
        <v>5614285.6121063232</v>
      </c>
      <c r="BD42" s="12" t="s">
        <v>26</v>
      </c>
      <c r="BE42" s="11" t="s">
        <v>46</v>
      </c>
      <c r="BF42" s="11" t="s">
        <v>120</v>
      </c>
      <c r="BG42" s="11" t="s">
        <v>61</v>
      </c>
      <c r="BN42" s="11" t="s">
        <v>77</v>
      </c>
      <c r="BO42" s="11" t="s">
        <v>77</v>
      </c>
      <c r="BP42" s="11" t="s">
        <v>76</v>
      </c>
      <c r="BQ42" s="11" t="s">
        <v>76</v>
      </c>
      <c r="BR42" s="12">
        <v>16100000</v>
      </c>
      <c r="BS42" s="12">
        <v>16100000</v>
      </c>
      <c r="BT42" s="12">
        <v>8600000</v>
      </c>
      <c r="BU42" s="12">
        <v>7500000</v>
      </c>
      <c r="BV42" s="12">
        <v>0</v>
      </c>
      <c r="BW42" s="12">
        <v>227.27272727272728</v>
      </c>
      <c r="BX42" s="12">
        <f t="shared" si="33"/>
        <v>227.27272727272728</v>
      </c>
      <c r="BY42" s="12"/>
      <c r="BZ42" s="12">
        <f t="shared" si="34"/>
        <v>227.27272727272728</v>
      </c>
      <c r="CA42" s="12"/>
      <c r="CB42" s="12">
        <f t="shared" si="35"/>
        <v>227.27272727272728</v>
      </c>
      <c r="CC42" s="12"/>
      <c r="CD42" s="12">
        <f t="shared" si="36"/>
        <v>227.27272727272728</v>
      </c>
      <c r="CE42" s="12"/>
      <c r="CF42" s="12">
        <f t="shared" si="37"/>
        <v>227.27272727272728</v>
      </c>
      <c r="CG42" s="12"/>
      <c r="CH42" s="12">
        <f t="shared" si="38"/>
        <v>227.27272727272728</v>
      </c>
      <c r="CI42" s="12">
        <f t="shared" si="39"/>
        <v>7500000</v>
      </c>
      <c r="CJ42" s="12"/>
      <c r="CK42" s="12">
        <f t="shared" si="26"/>
        <v>16100000</v>
      </c>
    </row>
    <row r="43" spans="1:89" x14ac:dyDescent="0.3">
      <c r="AL43" s="11" t="str">
        <f t="shared" si="28"/>
        <v>정형4</v>
      </c>
      <c r="AM43" s="11" t="str">
        <f t="shared" si="28"/>
        <v>의사직</v>
      </c>
      <c r="AN43" s="11" t="str">
        <f t="shared" si="28"/>
        <v>외래활동</v>
      </c>
      <c r="AO43" s="12">
        <f t="shared" si="29"/>
        <v>4000000</v>
      </c>
      <c r="AP43" s="12" t="s">
        <v>26</v>
      </c>
      <c r="AQ43" s="11" t="s">
        <v>55</v>
      </c>
      <c r="AR43" s="11" t="s">
        <v>51</v>
      </c>
      <c r="AS43" s="11" t="s">
        <v>35</v>
      </c>
      <c r="AX43" s="11" t="s">
        <v>76</v>
      </c>
      <c r="AY43" s="11" t="s">
        <v>90</v>
      </c>
      <c r="AZ43" s="11" t="s">
        <v>45</v>
      </c>
      <c r="BA43" s="12">
        <f t="shared" si="30"/>
        <v>4000000</v>
      </c>
      <c r="BB43" s="12">
        <f t="shared" si="31"/>
        <v>178571.34342193604</v>
      </c>
      <c r="BC43" s="12">
        <f t="shared" si="32"/>
        <v>4178571.343421936</v>
      </c>
      <c r="BD43" s="12" t="s">
        <v>26</v>
      </c>
      <c r="BE43" s="11" t="s">
        <v>55</v>
      </c>
      <c r="BF43" s="11" t="s">
        <v>51</v>
      </c>
      <c r="BG43" s="11" t="s">
        <v>35</v>
      </c>
      <c r="BN43" s="11" t="s">
        <v>118</v>
      </c>
      <c r="BO43" s="11"/>
      <c r="BP43" s="11"/>
      <c r="BQ43" s="11"/>
      <c r="BR43" s="12">
        <f>SUM(BR27:BR42)</f>
        <v>150000000</v>
      </c>
      <c r="BS43" s="12">
        <v>150000000</v>
      </c>
      <c r="BT43" s="12">
        <v>61700000</v>
      </c>
      <c r="BU43" s="12">
        <v>88300000</v>
      </c>
      <c r="BV43" s="12">
        <v>622.7603791628344</v>
      </c>
      <c r="BW43" s="12">
        <f>SUM(BW27:BW42)</f>
        <v>1298.7412587412587</v>
      </c>
      <c r="BX43" s="12">
        <f t="shared" ref="BX43:CK43" si="40">SUM(BX27:BX42)</f>
        <v>1298.7412587412587</v>
      </c>
      <c r="BY43" s="12">
        <f t="shared" si="40"/>
        <v>622.7603791628344</v>
      </c>
      <c r="BZ43" s="12">
        <f t="shared" si="40"/>
        <v>1298.7412587412587</v>
      </c>
      <c r="CA43" s="12">
        <f t="shared" si="40"/>
        <v>622.7603791628344</v>
      </c>
      <c r="CB43" s="12">
        <f t="shared" si="40"/>
        <v>1298.7412587412587</v>
      </c>
      <c r="CC43" s="12">
        <f t="shared" si="40"/>
        <v>622.7603791628344</v>
      </c>
      <c r="CD43" s="12">
        <f t="shared" si="40"/>
        <v>1298.7412587412587</v>
      </c>
      <c r="CE43" s="12">
        <f t="shared" si="40"/>
        <v>622.7603791628344</v>
      </c>
      <c r="CF43" s="12">
        <f t="shared" si="40"/>
        <v>1298.7412587412587</v>
      </c>
      <c r="CG43" s="12">
        <f t="shared" si="40"/>
        <v>622.7603791628344</v>
      </c>
      <c r="CH43" s="12">
        <f t="shared" si="40"/>
        <v>1298.7412587412587</v>
      </c>
      <c r="CI43" s="12">
        <f t="shared" si="40"/>
        <v>33800000</v>
      </c>
      <c r="CJ43" s="12">
        <f t="shared" si="40"/>
        <v>54500000</v>
      </c>
      <c r="CK43" s="12">
        <f t="shared" si="40"/>
        <v>150000000</v>
      </c>
    </row>
    <row r="44" spans="1:89" x14ac:dyDescent="0.3">
      <c r="AL44" s="11" t="str">
        <f t="shared" si="28"/>
        <v>정형4</v>
      </c>
      <c r="AM44" s="11" t="str">
        <f t="shared" si="28"/>
        <v>의사직</v>
      </c>
      <c r="AN44" s="11" t="str">
        <f t="shared" si="28"/>
        <v>검사활동</v>
      </c>
      <c r="AO44" s="12">
        <f t="shared" si="29"/>
        <v>4000000</v>
      </c>
      <c r="AP44" s="12" t="s">
        <v>26</v>
      </c>
      <c r="AQ44" s="11" t="s">
        <v>46</v>
      </c>
      <c r="AR44" s="11" t="s">
        <v>120</v>
      </c>
      <c r="AS44" s="11" t="s">
        <v>74</v>
      </c>
      <c r="AX44" s="11" t="s">
        <v>76</v>
      </c>
      <c r="AY44" s="11" t="s">
        <v>90</v>
      </c>
      <c r="AZ44" s="11" t="s">
        <v>54</v>
      </c>
      <c r="BA44" s="12">
        <f t="shared" si="30"/>
        <v>4000000</v>
      </c>
      <c r="BB44" s="12">
        <f t="shared" si="31"/>
        <v>178571.34342193604</v>
      </c>
      <c r="BC44" s="12">
        <f t="shared" si="32"/>
        <v>4178571.343421936</v>
      </c>
      <c r="BD44" s="12" t="s">
        <v>26</v>
      </c>
      <c r="BE44" s="11" t="s">
        <v>46</v>
      </c>
      <c r="BF44" s="11" t="s">
        <v>120</v>
      </c>
      <c r="BG44" s="11" t="s">
        <v>74</v>
      </c>
    </row>
    <row r="45" spans="1:89" x14ac:dyDescent="0.3">
      <c r="AL45" s="11" t="str">
        <f t="shared" si="28"/>
        <v>정형외과</v>
      </c>
      <c r="AM45" s="11" t="str">
        <f t="shared" si="28"/>
        <v>간호직</v>
      </c>
      <c r="AN45" s="11" t="str">
        <f t="shared" si="28"/>
        <v>외래활동</v>
      </c>
      <c r="AO45" s="12">
        <f t="shared" si="29"/>
        <v>10642856.736877441</v>
      </c>
      <c r="AP45" s="12" t="s">
        <v>26</v>
      </c>
      <c r="AQ45" s="11" t="s">
        <v>55</v>
      </c>
      <c r="AR45" s="11" t="s">
        <v>51</v>
      </c>
      <c r="AS45" s="11" t="s">
        <v>35</v>
      </c>
      <c r="AX45" s="11" t="s">
        <v>77</v>
      </c>
      <c r="AY45" s="11" t="s">
        <v>95</v>
      </c>
      <c r="AZ45" s="11" t="s">
        <v>45</v>
      </c>
      <c r="BA45" s="12">
        <f t="shared" si="30"/>
        <v>10642856.736877441</v>
      </c>
      <c r="BB45" s="12">
        <f t="shared" si="31"/>
        <v>357142.68684387207</v>
      </c>
      <c r="BC45" s="12">
        <f t="shared" si="32"/>
        <v>10999999.423721313</v>
      </c>
      <c r="BD45" s="12" t="s">
        <v>26</v>
      </c>
      <c r="BE45" s="11" t="s">
        <v>55</v>
      </c>
      <c r="BF45" s="11" t="s">
        <v>51</v>
      </c>
      <c r="BG45" s="11" t="s">
        <v>35</v>
      </c>
    </row>
    <row r="46" spans="1:89" x14ac:dyDescent="0.3">
      <c r="AL46" s="11" t="str">
        <f t="shared" si="28"/>
        <v>외래검사실</v>
      </c>
      <c r="AM46" s="11" t="str">
        <f t="shared" si="28"/>
        <v>간호직</v>
      </c>
      <c r="AN46" s="11" t="str">
        <f t="shared" si="28"/>
        <v>검사활동</v>
      </c>
      <c r="AO46" s="12">
        <f t="shared" si="29"/>
        <v>4928571.7473754883</v>
      </c>
      <c r="AP46" s="12" t="s">
        <v>26</v>
      </c>
      <c r="AQ46" s="11" t="s">
        <v>46</v>
      </c>
      <c r="AR46" s="11" t="s">
        <v>120</v>
      </c>
      <c r="AS46" s="11" t="s">
        <v>76</v>
      </c>
      <c r="AX46" s="11" t="s">
        <v>35</v>
      </c>
      <c r="AY46" s="11" t="s">
        <v>95</v>
      </c>
      <c r="AZ46" s="11" t="s">
        <v>54</v>
      </c>
      <c r="BA46" s="12">
        <f t="shared" si="30"/>
        <v>4928571.7473754883</v>
      </c>
      <c r="BB46" s="12">
        <f t="shared" si="31"/>
        <v>357142.68684387207</v>
      </c>
      <c r="BC46" s="12">
        <f t="shared" si="32"/>
        <v>5285714.4342193604</v>
      </c>
      <c r="BD46" s="12" t="s">
        <v>26</v>
      </c>
      <c r="BE46" s="11" t="s">
        <v>46</v>
      </c>
      <c r="BF46" s="11" t="s">
        <v>120</v>
      </c>
      <c r="BG46" s="11" t="s">
        <v>76</v>
      </c>
      <c r="BN46" t="s">
        <v>121</v>
      </c>
      <c r="BS46" t="s">
        <v>93</v>
      </c>
      <c r="BX46" t="s">
        <v>122</v>
      </c>
    </row>
    <row r="47" spans="1:89" x14ac:dyDescent="0.3">
      <c r="AL47" s="11" t="str">
        <f t="shared" si="28"/>
        <v>원무팀</v>
      </c>
      <c r="AM47" s="11" t="str">
        <f t="shared" si="28"/>
        <v>행정직</v>
      </c>
      <c r="AN47" s="11" t="str">
        <f t="shared" si="28"/>
        <v>행정활동</v>
      </c>
      <c r="AO47" s="12">
        <f t="shared" si="29"/>
        <v>3928571.7473754883</v>
      </c>
      <c r="AP47" s="12" t="s">
        <v>26</v>
      </c>
      <c r="AQ47" s="11" t="s">
        <v>46</v>
      </c>
      <c r="AR47" s="11" t="s">
        <v>51</v>
      </c>
      <c r="AS47" s="11" t="s">
        <v>77</v>
      </c>
      <c r="AX47" s="11" t="s">
        <v>53</v>
      </c>
      <c r="AY47" s="11" t="s">
        <v>117</v>
      </c>
      <c r="AZ47" s="11" t="s">
        <v>89</v>
      </c>
      <c r="BA47" s="12">
        <f t="shared" si="30"/>
        <v>3928571.7473754883</v>
      </c>
      <c r="BB47" s="12">
        <f t="shared" si="31"/>
        <v>357142.68684387207</v>
      </c>
      <c r="BC47" s="12">
        <f t="shared" si="32"/>
        <v>4285714.4342193604</v>
      </c>
      <c r="BD47" s="12" t="s">
        <v>26</v>
      </c>
      <c r="BE47" s="11" t="s">
        <v>46</v>
      </c>
      <c r="BF47" s="11" t="s">
        <v>51</v>
      </c>
      <c r="BG47" s="11" t="s">
        <v>77</v>
      </c>
      <c r="BN47" s="10" t="s">
        <v>28</v>
      </c>
      <c r="BO47" s="10" t="s">
        <v>47</v>
      </c>
      <c r="BP47" s="10" t="s">
        <v>96</v>
      </c>
      <c r="BQ47" s="10" t="s">
        <v>62</v>
      </c>
      <c r="BR47" s="10" t="s">
        <v>97</v>
      </c>
      <c r="BS47" s="9" t="s">
        <v>98</v>
      </c>
      <c r="BT47" s="9" t="s">
        <v>99</v>
      </c>
      <c r="BU47" s="9" t="s">
        <v>100</v>
      </c>
      <c r="BV47" s="9" t="s">
        <v>101</v>
      </c>
      <c r="BW47" s="9" t="s">
        <v>102</v>
      </c>
      <c r="BX47" s="21" t="s">
        <v>103</v>
      </c>
      <c r="BY47" s="21" t="s">
        <v>104</v>
      </c>
      <c r="BZ47" s="21" t="s">
        <v>105</v>
      </c>
      <c r="CA47" s="21" t="s">
        <v>106</v>
      </c>
      <c r="CB47" s="21" t="s">
        <v>107</v>
      </c>
      <c r="CC47" s="21" t="s">
        <v>108</v>
      </c>
      <c r="CD47" s="21" t="s">
        <v>109</v>
      </c>
      <c r="CE47" s="21" t="s">
        <v>110</v>
      </c>
      <c r="CF47" s="21" t="s">
        <v>111</v>
      </c>
      <c r="CG47" s="21" t="s">
        <v>112</v>
      </c>
      <c r="CH47" s="21" t="s">
        <v>113</v>
      </c>
      <c r="CI47" s="21" t="s">
        <v>114</v>
      </c>
      <c r="CJ47" s="21" t="s">
        <v>115</v>
      </c>
      <c r="CK47" s="21" t="s">
        <v>116</v>
      </c>
    </row>
    <row r="48" spans="1:89" x14ac:dyDescent="0.3">
      <c r="AL48" s="11" t="str">
        <f t="shared" si="28"/>
        <v>행정팀</v>
      </c>
      <c r="AM48" s="11" t="str">
        <f t="shared" si="28"/>
        <v>행정직</v>
      </c>
      <c r="AN48" s="11" t="str">
        <f t="shared" si="28"/>
        <v>행정활동</v>
      </c>
      <c r="AO48" s="12">
        <f t="shared" si="29"/>
        <v>2500000</v>
      </c>
      <c r="AP48" s="12" t="s">
        <v>123</v>
      </c>
      <c r="AQ48" s="11" t="s">
        <v>32</v>
      </c>
      <c r="AR48" s="11" t="s">
        <v>9</v>
      </c>
      <c r="AS48" s="11" t="s">
        <v>43</v>
      </c>
      <c r="AX48" s="11" t="s">
        <v>23</v>
      </c>
      <c r="AY48" s="11" t="s">
        <v>117</v>
      </c>
      <c r="AZ48" s="11" t="s">
        <v>89</v>
      </c>
      <c r="BA48" s="12">
        <f t="shared" si="30"/>
        <v>2500000</v>
      </c>
      <c r="BB48" s="12">
        <f>-BA48</f>
        <v>-2500000</v>
      </c>
      <c r="BC48" s="11">
        <f t="shared" si="32"/>
        <v>0</v>
      </c>
      <c r="BD48" s="11"/>
      <c r="BE48" s="11"/>
      <c r="BF48" s="11"/>
      <c r="BN48" s="11" t="s">
        <v>77</v>
      </c>
      <c r="BO48" s="11" t="s">
        <v>35</v>
      </c>
      <c r="BP48" s="11" t="s">
        <v>57</v>
      </c>
      <c r="BQ48" s="11" t="s">
        <v>57</v>
      </c>
      <c r="BR48" s="12">
        <v>12800000</v>
      </c>
      <c r="BS48" s="12">
        <v>12800000</v>
      </c>
      <c r="BT48" s="12">
        <v>6200000</v>
      </c>
      <c r="BU48" s="12">
        <v>6600000</v>
      </c>
      <c r="BV48" s="12">
        <v>75.862068965517238</v>
      </c>
      <c r="BW48" s="12">
        <v>0</v>
      </c>
      <c r="BX48" s="12">
        <f>(BX27/BX$43)*VLOOKUP(BX$47,$BM$6:$BP$20,4,FALSE)</f>
        <v>0</v>
      </c>
      <c r="BY48" s="12">
        <f>(BY27/BY$43)*VLOOKUP(BY$47,$BM$6:$BP$20,4,FALSE)</f>
        <v>691739.84937735694</v>
      </c>
      <c r="BZ48" s="12">
        <f t="shared" ref="BZ48:CK63" si="41">(BZ27/BZ$43)*VLOOKUP(BZ$47,$BM$6:$BP$20,4,FALSE)</f>
        <v>0</v>
      </c>
      <c r="CA48" s="12">
        <f t="shared" si="41"/>
        <v>504665.54975849547</v>
      </c>
      <c r="CB48" s="12">
        <f t="shared" si="41"/>
        <v>0</v>
      </c>
      <c r="CC48" s="12">
        <f t="shared" si="41"/>
        <v>683908.83002265811</v>
      </c>
      <c r="CD48" s="12">
        <f t="shared" si="41"/>
        <v>0</v>
      </c>
      <c r="CE48" s="12">
        <f t="shared" si="41"/>
        <v>509016.11283964419</v>
      </c>
      <c r="CF48" s="12">
        <f t="shared" si="41"/>
        <v>0</v>
      </c>
      <c r="CG48" s="12">
        <f t="shared" si="41"/>
        <v>643883.66112792259</v>
      </c>
      <c r="CH48" s="12">
        <f t="shared" si="41"/>
        <v>0</v>
      </c>
      <c r="CI48" s="12">
        <f t="shared" si="41"/>
        <v>0</v>
      </c>
      <c r="CJ48" s="12">
        <f t="shared" si="41"/>
        <v>605504.58715596329</v>
      </c>
      <c r="CK48" s="12">
        <f t="shared" si="41"/>
        <v>213333.33333333331</v>
      </c>
    </row>
    <row r="49" spans="38:89" x14ac:dyDescent="0.3">
      <c r="AL49" s="22" t="s">
        <v>118</v>
      </c>
      <c r="AM49" s="22"/>
      <c r="AN49" s="22"/>
      <c r="AO49" s="23">
        <f>SUM(AO37:AO48)</f>
        <v>60000000.231628418</v>
      </c>
      <c r="AX49" s="22"/>
      <c r="AY49" s="22"/>
      <c r="AZ49" s="23"/>
      <c r="BA49" s="23">
        <f>SUM(BA37:BA48)</f>
        <v>60000000.231628418</v>
      </c>
      <c r="BB49" s="23">
        <f>SUM(BB37:BB48)</f>
        <v>-1.1920928955078125</v>
      </c>
      <c r="BC49" s="23">
        <f>SUM(BC37:BC48)</f>
        <v>59999999.039535522</v>
      </c>
      <c r="BD49" s="11"/>
      <c r="BE49" s="11"/>
      <c r="BF49" s="11"/>
      <c r="BN49" s="11" t="s">
        <v>77</v>
      </c>
      <c r="BO49" s="11" t="s">
        <v>35</v>
      </c>
      <c r="BP49" s="11" t="s">
        <v>57</v>
      </c>
      <c r="BQ49" s="11" t="s">
        <v>74</v>
      </c>
      <c r="BR49" s="12">
        <v>3400000</v>
      </c>
      <c r="BS49" s="12">
        <v>3400000</v>
      </c>
      <c r="BT49" s="12">
        <v>0</v>
      </c>
      <c r="BU49" s="12">
        <v>3400000</v>
      </c>
      <c r="BV49" s="12">
        <v>35.789473684210527</v>
      </c>
      <c r="BW49" s="12">
        <v>0</v>
      </c>
      <c r="BX49" s="12">
        <f t="shared" ref="BX49:CK64" si="42">(BX28/BX$43)*VLOOKUP(BX$47,$BM$6:$BP$20,4,FALSE)</f>
        <v>0</v>
      </c>
      <c r="BY49" s="12">
        <f t="shared" si="42"/>
        <v>326342.34042395884</v>
      </c>
      <c r="BZ49" s="12">
        <f t="shared" si="41"/>
        <v>0</v>
      </c>
      <c r="CA49" s="12">
        <f t="shared" si="41"/>
        <v>238086.23543630459</v>
      </c>
      <c r="CB49" s="12">
        <f t="shared" si="41"/>
        <v>0</v>
      </c>
      <c r="CC49" s="12">
        <f t="shared" si="41"/>
        <v>322647.89780016313</v>
      </c>
      <c r="CD49" s="12">
        <f t="shared" si="41"/>
        <v>0</v>
      </c>
      <c r="CE49" s="12">
        <f t="shared" si="41"/>
        <v>240138.7020382245</v>
      </c>
      <c r="CF49" s="12">
        <f t="shared" si="41"/>
        <v>0</v>
      </c>
      <c r="CG49" s="12">
        <f t="shared" si="41"/>
        <v>303765.21046513476</v>
      </c>
      <c r="CH49" s="12">
        <f t="shared" si="41"/>
        <v>0</v>
      </c>
      <c r="CI49" s="12">
        <f t="shared" si="41"/>
        <v>0</v>
      </c>
      <c r="CJ49" s="12">
        <f t="shared" si="41"/>
        <v>311926.60550458718</v>
      </c>
      <c r="CK49" s="12">
        <f t="shared" si="41"/>
        <v>56666.666666666672</v>
      </c>
    </row>
    <row r="50" spans="38:89" x14ac:dyDescent="0.3">
      <c r="BN50" s="11" t="s">
        <v>77</v>
      </c>
      <c r="BO50" s="11" t="s">
        <v>35</v>
      </c>
      <c r="BP50" s="11" t="s">
        <v>61</v>
      </c>
      <c r="BQ50" s="11" t="s">
        <v>61</v>
      </c>
      <c r="BR50" s="12">
        <v>15400000</v>
      </c>
      <c r="BS50" s="12">
        <v>15400000</v>
      </c>
      <c r="BT50" s="12">
        <v>9700000</v>
      </c>
      <c r="BU50" s="12">
        <v>5700000</v>
      </c>
      <c r="BV50" s="12">
        <v>74.025974025974023</v>
      </c>
      <c r="BW50" s="12">
        <v>0</v>
      </c>
      <c r="BX50" s="12">
        <f t="shared" si="42"/>
        <v>0</v>
      </c>
      <c r="BY50" s="12">
        <f t="shared" si="42"/>
        <v>674997.62161792861</v>
      </c>
      <c r="BZ50" s="12">
        <f t="shared" si="41"/>
        <v>0</v>
      </c>
      <c r="CA50" s="12">
        <f t="shared" si="41"/>
        <v>492451.09430389199</v>
      </c>
      <c r="CB50" s="12">
        <f t="shared" si="41"/>
        <v>0</v>
      </c>
      <c r="CC50" s="12">
        <f t="shared" si="41"/>
        <v>667356.13697016169</v>
      </c>
      <c r="CD50" s="12">
        <f t="shared" si="41"/>
        <v>0</v>
      </c>
      <c r="CE50" s="12">
        <f t="shared" si="41"/>
        <v>496696.36040373781</v>
      </c>
      <c r="CF50" s="12">
        <f t="shared" si="41"/>
        <v>0</v>
      </c>
      <c r="CG50" s="12">
        <f t="shared" si="41"/>
        <v>628299.70002624323</v>
      </c>
      <c r="CH50" s="12">
        <f t="shared" si="41"/>
        <v>0</v>
      </c>
      <c r="CI50" s="12">
        <f t="shared" si="41"/>
        <v>0</v>
      </c>
      <c r="CJ50" s="12">
        <f t="shared" si="41"/>
        <v>522935.77981651376</v>
      </c>
      <c r="CK50" s="12">
        <f t="shared" si="41"/>
        <v>256666.66666666669</v>
      </c>
    </row>
    <row r="51" spans="38:89" x14ac:dyDescent="0.3">
      <c r="BN51" s="11" t="s">
        <v>77</v>
      </c>
      <c r="BO51" s="11" t="s">
        <v>35</v>
      </c>
      <c r="BP51" s="11" t="s">
        <v>61</v>
      </c>
      <c r="BQ51" s="11" t="s">
        <v>74</v>
      </c>
      <c r="BR51" s="12">
        <v>5200000</v>
      </c>
      <c r="BS51" s="12">
        <v>5200000</v>
      </c>
      <c r="BT51" s="12">
        <v>0</v>
      </c>
      <c r="BU51" s="12">
        <v>5200000</v>
      </c>
      <c r="BV51" s="12">
        <v>54.736842105263158</v>
      </c>
      <c r="BW51" s="12">
        <v>0</v>
      </c>
      <c r="BX51" s="12">
        <f t="shared" si="42"/>
        <v>0</v>
      </c>
      <c r="BY51" s="12">
        <f t="shared" si="42"/>
        <v>499111.81476605468</v>
      </c>
      <c r="BZ51" s="12">
        <f t="shared" si="41"/>
        <v>0</v>
      </c>
      <c r="CA51" s="12">
        <f t="shared" si="41"/>
        <v>364131.88949081878</v>
      </c>
      <c r="CB51" s="12">
        <f t="shared" si="41"/>
        <v>0</v>
      </c>
      <c r="CC51" s="12">
        <f t="shared" si="41"/>
        <v>493461.49075319065</v>
      </c>
      <c r="CD51" s="12">
        <f t="shared" si="41"/>
        <v>0</v>
      </c>
      <c r="CE51" s="12">
        <f t="shared" si="41"/>
        <v>367270.95605846099</v>
      </c>
      <c r="CF51" s="12">
        <f t="shared" si="41"/>
        <v>0</v>
      </c>
      <c r="CG51" s="12">
        <f t="shared" si="41"/>
        <v>464582.0865937355</v>
      </c>
      <c r="CH51" s="12">
        <f t="shared" si="41"/>
        <v>0</v>
      </c>
      <c r="CI51" s="12">
        <f t="shared" si="41"/>
        <v>0</v>
      </c>
      <c r="CJ51" s="12">
        <f t="shared" si="41"/>
        <v>477064.22018348629</v>
      </c>
      <c r="CK51" s="12">
        <f t="shared" si="41"/>
        <v>86666.666666666657</v>
      </c>
    </row>
    <row r="52" spans="38:89" x14ac:dyDescent="0.3">
      <c r="BN52" s="11" t="s">
        <v>77</v>
      </c>
      <c r="BO52" s="11" t="s">
        <v>35</v>
      </c>
      <c r="BP52" s="11" t="s">
        <v>61</v>
      </c>
      <c r="BQ52" s="11" t="s">
        <v>76</v>
      </c>
      <c r="BR52" s="12">
        <v>1700000</v>
      </c>
      <c r="BS52" s="12">
        <v>1700000</v>
      </c>
      <c r="BT52" s="12">
        <v>0</v>
      </c>
      <c r="BU52" s="12">
        <v>1700000</v>
      </c>
      <c r="BV52" s="12">
        <v>19.101123595505619</v>
      </c>
      <c r="BW52" s="12">
        <v>0</v>
      </c>
      <c r="BX52" s="12">
        <f t="shared" si="42"/>
        <v>0</v>
      </c>
      <c r="BY52" s="12">
        <f t="shared" si="42"/>
        <v>174171.47382177578</v>
      </c>
      <c r="BZ52" s="12">
        <f t="shared" si="41"/>
        <v>0</v>
      </c>
      <c r="CA52" s="12">
        <f t="shared" si="41"/>
        <v>127068.49644072437</v>
      </c>
      <c r="CB52" s="12">
        <f t="shared" si="41"/>
        <v>0</v>
      </c>
      <c r="CC52" s="12">
        <f t="shared" si="41"/>
        <v>172199.72073604213</v>
      </c>
      <c r="CD52" s="12">
        <f t="shared" si="41"/>
        <v>0</v>
      </c>
      <c r="CE52" s="12">
        <f t="shared" si="41"/>
        <v>128163.91400916477</v>
      </c>
      <c r="CF52" s="12">
        <f t="shared" si="41"/>
        <v>0</v>
      </c>
      <c r="CG52" s="12">
        <f t="shared" si="41"/>
        <v>162121.88198981914</v>
      </c>
      <c r="CH52" s="12">
        <f t="shared" si="41"/>
        <v>0</v>
      </c>
      <c r="CI52" s="12">
        <f t="shared" si="41"/>
        <v>0</v>
      </c>
      <c r="CJ52" s="12">
        <f t="shared" si="41"/>
        <v>155963.30275229359</v>
      </c>
      <c r="CK52" s="12">
        <f t="shared" si="41"/>
        <v>28333.333333333336</v>
      </c>
    </row>
    <row r="53" spans="38:89" x14ac:dyDescent="0.3">
      <c r="BN53" s="11" t="s">
        <v>77</v>
      </c>
      <c r="BO53" s="11" t="s">
        <v>35</v>
      </c>
      <c r="BP53" s="11" t="s">
        <v>74</v>
      </c>
      <c r="BQ53" s="11" t="s">
        <v>57</v>
      </c>
      <c r="BR53" s="12">
        <v>5200000</v>
      </c>
      <c r="BS53" s="12">
        <v>5200000</v>
      </c>
      <c r="BT53" s="12">
        <v>0</v>
      </c>
      <c r="BU53" s="12">
        <v>5200000</v>
      </c>
      <c r="BV53" s="12">
        <v>59.770114942528735</v>
      </c>
      <c r="BW53" s="12">
        <v>0</v>
      </c>
      <c r="BX53" s="12">
        <f t="shared" si="42"/>
        <v>0</v>
      </c>
      <c r="BY53" s="12">
        <f t="shared" si="42"/>
        <v>545007.15405488736</v>
      </c>
      <c r="BZ53" s="12">
        <f t="shared" si="41"/>
        <v>0</v>
      </c>
      <c r="CA53" s="12">
        <f t="shared" si="41"/>
        <v>397615.28162790556</v>
      </c>
      <c r="CB53" s="12">
        <f t="shared" si="41"/>
        <v>0</v>
      </c>
      <c r="CC53" s="12">
        <f t="shared" si="41"/>
        <v>538837.26001785195</v>
      </c>
      <c r="CD53" s="12">
        <f t="shared" si="41"/>
        <v>0</v>
      </c>
      <c r="CE53" s="12">
        <f t="shared" si="41"/>
        <v>401042.99799487123</v>
      </c>
      <c r="CF53" s="12">
        <f t="shared" si="41"/>
        <v>0</v>
      </c>
      <c r="CG53" s="12">
        <f t="shared" si="41"/>
        <v>507302.2784644239</v>
      </c>
      <c r="CH53" s="12">
        <f t="shared" si="41"/>
        <v>0</v>
      </c>
      <c r="CI53" s="12">
        <f t="shared" si="41"/>
        <v>0</v>
      </c>
      <c r="CJ53" s="12">
        <f t="shared" si="41"/>
        <v>477064.22018348629</v>
      </c>
      <c r="CK53" s="12">
        <f t="shared" si="41"/>
        <v>86666.666666666657</v>
      </c>
    </row>
    <row r="54" spans="38:89" x14ac:dyDescent="0.3">
      <c r="BN54" s="11" t="s">
        <v>77</v>
      </c>
      <c r="BO54" s="11" t="s">
        <v>35</v>
      </c>
      <c r="BP54" s="11" t="s">
        <v>74</v>
      </c>
      <c r="BQ54" s="11" t="s">
        <v>74</v>
      </c>
      <c r="BR54" s="12">
        <v>12300000</v>
      </c>
      <c r="BS54" s="12">
        <v>12300000</v>
      </c>
      <c r="BT54" s="12">
        <v>6000000</v>
      </c>
      <c r="BU54" s="12">
        <v>6300000</v>
      </c>
      <c r="BV54" s="12">
        <v>66.315789473684205</v>
      </c>
      <c r="BW54" s="12">
        <v>0</v>
      </c>
      <c r="BX54" s="12">
        <f t="shared" si="42"/>
        <v>0</v>
      </c>
      <c r="BY54" s="12">
        <f t="shared" si="42"/>
        <v>604693.16019733553</v>
      </c>
      <c r="BZ54" s="12">
        <f t="shared" si="41"/>
        <v>0</v>
      </c>
      <c r="CA54" s="12">
        <f t="shared" si="41"/>
        <v>441159.78919079964</v>
      </c>
      <c r="CB54" s="12">
        <f t="shared" si="41"/>
        <v>0</v>
      </c>
      <c r="CC54" s="12">
        <f t="shared" si="41"/>
        <v>597847.57533559634</v>
      </c>
      <c r="CD54" s="12">
        <f t="shared" si="41"/>
        <v>0</v>
      </c>
      <c r="CE54" s="12">
        <f t="shared" si="41"/>
        <v>444962.88907082775</v>
      </c>
      <c r="CF54" s="12">
        <f t="shared" si="41"/>
        <v>0</v>
      </c>
      <c r="CG54" s="12">
        <f t="shared" si="41"/>
        <v>562859.0664501026</v>
      </c>
      <c r="CH54" s="12">
        <f t="shared" si="41"/>
        <v>0</v>
      </c>
      <c r="CI54" s="12">
        <f t="shared" si="41"/>
        <v>0</v>
      </c>
      <c r="CJ54" s="12">
        <f t="shared" si="41"/>
        <v>577981.65137614682</v>
      </c>
      <c r="CK54" s="12">
        <f t="shared" si="41"/>
        <v>205000</v>
      </c>
    </row>
    <row r="55" spans="38:89" x14ac:dyDescent="0.3">
      <c r="BN55" s="11" t="s">
        <v>77</v>
      </c>
      <c r="BO55" s="11" t="s">
        <v>35</v>
      </c>
      <c r="BP55" s="11" t="s">
        <v>74</v>
      </c>
      <c r="BQ55" s="11" t="s">
        <v>76</v>
      </c>
      <c r="BR55" s="12">
        <v>5200000</v>
      </c>
      <c r="BS55" s="12">
        <v>5200000</v>
      </c>
      <c r="BT55" s="12">
        <v>0</v>
      </c>
      <c r="BU55" s="12">
        <v>5200000</v>
      </c>
      <c r="BV55" s="12">
        <v>58.426966292134829</v>
      </c>
      <c r="BW55" s="12">
        <v>0</v>
      </c>
      <c r="BX55" s="12">
        <f t="shared" si="42"/>
        <v>0</v>
      </c>
      <c r="BY55" s="12">
        <f t="shared" si="42"/>
        <v>532759.80227837292</v>
      </c>
      <c r="BZ55" s="12">
        <f t="shared" si="41"/>
        <v>0</v>
      </c>
      <c r="CA55" s="12">
        <f t="shared" si="41"/>
        <v>388680.10675986268</v>
      </c>
      <c r="CB55" s="12">
        <f t="shared" si="41"/>
        <v>0</v>
      </c>
      <c r="CC55" s="12">
        <f t="shared" si="41"/>
        <v>526728.55754554062</v>
      </c>
      <c r="CD55" s="12">
        <f t="shared" si="41"/>
        <v>0</v>
      </c>
      <c r="CE55" s="12">
        <f t="shared" si="41"/>
        <v>392030.79579273926</v>
      </c>
      <c r="CF55" s="12">
        <f t="shared" si="41"/>
        <v>0</v>
      </c>
      <c r="CG55" s="12">
        <f t="shared" si="41"/>
        <v>495902.22726297611</v>
      </c>
      <c r="CH55" s="12">
        <f t="shared" si="41"/>
        <v>0</v>
      </c>
      <c r="CI55" s="12">
        <f t="shared" si="41"/>
        <v>0</v>
      </c>
      <c r="CJ55" s="12">
        <f t="shared" si="41"/>
        <v>477064.22018348629</v>
      </c>
      <c r="CK55" s="12">
        <f t="shared" si="41"/>
        <v>86666.666666666657</v>
      </c>
    </row>
    <row r="56" spans="38:89" x14ac:dyDescent="0.3">
      <c r="BN56" s="11" t="s">
        <v>77</v>
      </c>
      <c r="BO56" s="11" t="s">
        <v>35</v>
      </c>
      <c r="BP56" s="11" t="s">
        <v>76</v>
      </c>
      <c r="BQ56" s="11" t="s">
        <v>57</v>
      </c>
      <c r="BR56" s="12">
        <v>5000000</v>
      </c>
      <c r="BS56" s="12">
        <v>5000000</v>
      </c>
      <c r="BT56" s="12">
        <v>0</v>
      </c>
      <c r="BU56" s="12">
        <v>5000000</v>
      </c>
      <c r="BV56" s="12">
        <v>57.47126436781609</v>
      </c>
      <c r="BW56" s="12">
        <v>0</v>
      </c>
      <c r="BX56" s="12">
        <f t="shared" si="42"/>
        <v>0</v>
      </c>
      <c r="BY56" s="12">
        <f t="shared" si="42"/>
        <v>524045.3404373916</v>
      </c>
      <c r="BZ56" s="12">
        <f t="shared" si="41"/>
        <v>0</v>
      </c>
      <c r="CA56" s="12">
        <f t="shared" si="41"/>
        <v>382322.38618067838</v>
      </c>
      <c r="CB56" s="12">
        <f t="shared" si="41"/>
        <v>0</v>
      </c>
      <c r="CC56" s="12">
        <f t="shared" si="41"/>
        <v>518112.75001716526</v>
      </c>
      <c r="CD56" s="12">
        <f t="shared" si="41"/>
        <v>0</v>
      </c>
      <c r="CE56" s="12">
        <f t="shared" si="41"/>
        <v>385618.26730276074</v>
      </c>
      <c r="CF56" s="12">
        <f t="shared" si="41"/>
        <v>0</v>
      </c>
      <c r="CG56" s="12">
        <f t="shared" si="41"/>
        <v>487790.65236963832</v>
      </c>
      <c r="CH56" s="12">
        <f t="shared" si="41"/>
        <v>0</v>
      </c>
      <c r="CI56" s="12">
        <f t="shared" si="41"/>
        <v>0</v>
      </c>
      <c r="CJ56" s="12">
        <f t="shared" si="41"/>
        <v>458715.59633027524</v>
      </c>
      <c r="CK56" s="12">
        <f t="shared" si="41"/>
        <v>83333.333333333328</v>
      </c>
    </row>
    <row r="57" spans="38:89" x14ac:dyDescent="0.3">
      <c r="BN57" s="11" t="s">
        <v>77</v>
      </c>
      <c r="BO57" s="11" t="s">
        <v>35</v>
      </c>
      <c r="BP57" s="11" t="s">
        <v>76</v>
      </c>
      <c r="BQ57" s="11" t="s">
        <v>61</v>
      </c>
      <c r="BR57" s="12">
        <v>3800000</v>
      </c>
      <c r="BS57" s="12">
        <v>3800000</v>
      </c>
      <c r="BT57" s="12">
        <v>0</v>
      </c>
      <c r="BU57" s="12">
        <v>3800000</v>
      </c>
      <c r="BV57" s="12">
        <v>49.350649350649348</v>
      </c>
      <c r="BW57" s="12">
        <v>0</v>
      </c>
      <c r="BX57" s="12">
        <f t="shared" si="42"/>
        <v>0</v>
      </c>
      <c r="BY57" s="12">
        <f t="shared" si="42"/>
        <v>449998.41441195243</v>
      </c>
      <c r="BZ57" s="12">
        <f t="shared" si="41"/>
        <v>0</v>
      </c>
      <c r="CA57" s="12">
        <f t="shared" si="41"/>
        <v>328300.729535928</v>
      </c>
      <c r="CB57" s="12">
        <f t="shared" si="41"/>
        <v>0</v>
      </c>
      <c r="CC57" s="12">
        <f t="shared" si="41"/>
        <v>444904.09131344111</v>
      </c>
      <c r="CD57" s="12">
        <f t="shared" si="41"/>
        <v>0</v>
      </c>
      <c r="CE57" s="12">
        <f t="shared" si="41"/>
        <v>331130.90693582519</v>
      </c>
      <c r="CF57" s="12">
        <f t="shared" si="41"/>
        <v>0</v>
      </c>
      <c r="CG57" s="12">
        <f t="shared" si="41"/>
        <v>418866.46668416215</v>
      </c>
      <c r="CH57" s="12">
        <f t="shared" si="41"/>
        <v>0</v>
      </c>
      <c r="CI57" s="12">
        <f t="shared" si="41"/>
        <v>0</v>
      </c>
      <c r="CJ57" s="12">
        <f t="shared" si="41"/>
        <v>348623.85321100918</v>
      </c>
      <c r="CK57" s="12">
        <f t="shared" si="41"/>
        <v>63333.333333333328</v>
      </c>
    </row>
    <row r="58" spans="38:89" x14ac:dyDescent="0.3">
      <c r="BN58" s="11" t="s">
        <v>77</v>
      </c>
      <c r="BO58" s="11" t="s">
        <v>35</v>
      </c>
      <c r="BP58" s="11" t="s">
        <v>76</v>
      </c>
      <c r="BQ58" s="11" t="s">
        <v>76</v>
      </c>
      <c r="BR58" s="12">
        <v>13900000</v>
      </c>
      <c r="BS58" s="12">
        <v>13900000</v>
      </c>
      <c r="BT58" s="12">
        <v>7500000</v>
      </c>
      <c r="BU58" s="12">
        <v>6400000</v>
      </c>
      <c r="BV58" s="12">
        <v>71.910112359550567</v>
      </c>
      <c r="BW58" s="12">
        <v>0</v>
      </c>
      <c r="BX58" s="12">
        <f t="shared" si="42"/>
        <v>0</v>
      </c>
      <c r="BY58" s="12">
        <f t="shared" si="42"/>
        <v>655704.37203492061</v>
      </c>
      <c r="BZ58" s="12">
        <f t="shared" si="41"/>
        <v>0</v>
      </c>
      <c r="CA58" s="12">
        <f t="shared" si="41"/>
        <v>478375.5160121388</v>
      </c>
      <c r="CB58" s="12">
        <f t="shared" si="41"/>
        <v>0</v>
      </c>
      <c r="CC58" s="12">
        <f t="shared" si="41"/>
        <v>648281.30159451161</v>
      </c>
      <c r="CD58" s="12">
        <f t="shared" si="41"/>
        <v>0</v>
      </c>
      <c r="CE58" s="12">
        <f t="shared" si="41"/>
        <v>482499.44097567914</v>
      </c>
      <c r="CF58" s="12">
        <f t="shared" si="41"/>
        <v>0</v>
      </c>
      <c r="CG58" s="12">
        <f t="shared" si="41"/>
        <v>610341.20278520149</v>
      </c>
      <c r="CH58" s="12">
        <f t="shared" si="41"/>
        <v>0</v>
      </c>
      <c r="CI58" s="12">
        <f t="shared" si="41"/>
        <v>0</v>
      </c>
      <c r="CJ58" s="12">
        <f t="shared" si="41"/>
        <v>587155.96330275235</v>
      </c>
      <c r="CK58" s="12">
        <f t="shared" si="41"/>
        <v>231666.66666666666</v>
      </c>
    </row>
    <row r="59" spans="38:89" x14ac:dyDescent="0.3">
      <c r="BN59" s="11" t="s">
        <v>77</v>
      </c>
      <c r="BO59" s="11" t="s">
        <v>77</v>
      </c>
      <c r="BP59" s="11" t="s">
        <v>57</v>
      </c>
      <c r="BQ59" s="11" t="s">
        <v>57</v>
      </c>
      <c r="BR59" s="12">
        <v>12300000</v>
      </c>
      <c r="BS59" s="12">
        <v>12300000</v>
      </c>
      <c r="BT59" s="12">
        <v>6700000</v>
      </c>
      <c r="BU59" s="12">
        <v>5600000</v>
      </c>
      <c r="BV59" s="12">
        <v>0</v>
      </c>
      <c r="BW59" s="12">
        <v>254.5454545454545</v>
      </c>
      <c r="BX59" s="12">
        <f t="shared" si="42"/>
        <v>1112965.738211062</v>
      </c>
      <c r="BY59" s="12">
        <f t="shared" si="42"/>
        <v>0</v>
      </c>
      <c r="BZ59" s="12">
        <f t="shared" si="41"/>
        <v>1217962.504203479</v>
      </c>
      <c r="CA59" s="12">
        <f t="shared" si="41"/>
        <v>0</v>
      </c>
      <c r="CB59" s="12">
        <f t="shared" si="41"/>
        <v>733577.41503578913</v>
      </c>
      <c r="CC59" s="12">
        <f t="shared" si="41"/>
        <v>0</v>
      </c>
      <c r="CD59" s="12">
        <f t="shared" si="41"/>
        <v>818974.78408657364</v>
      </c>
      <c r="CE59" s="12">
        <f t="shared" si="41"/>
        <v>0</v>
      </c>
      <c r="CF59" s="12">
        <f t="shared" si="41"/>
        <v>2155933.5506324349</v>
      </c>
      <c r="CG59" s="12">
        <f t="shared" si="41"/>
        <v>0</v>
      </c>
      <c r="CH59" s="12">
        <f t="shared" si="41"/>
        <v>839974.18374749459</v>
      </c>
      <c r="CI59" s="12">
        <f t="shared" si="41"/>
        <v>8698224.8520710059</v>
      </c>
      <c r="CJ59" s="12">
        <f t="shared" si="41"/>
        <v>0</v>
      </c>
      <c r="CK59" s="12">
        <f t="shared" si="41"/>
        <v>205000</v>
      </c>
    </row>
    <row r="60" spans="38:89" x14ac:dyDescent="0.3">
      <c r="BN60" s="11" t="s">
        <v>77</v>
      </c>
      <c r="BO60" s="11" t="s">
        <v>77</v>
      </c>
      <c r="BP60" s="11" t="s">
        <v>57</v>
      </c>
      <c r="BQ60" s="11" t="s">
        <v>61</v>
      </c>
      <c r="BR60" s="12">
        <v>6900000</v>
      </c>
      <c r="BS60" s="12">
        <v>6900000</v>
      </c>
      <c r="BT60" s="12">
        <v>0</v>
      </c>
      <c r="BU60" s="12">
        <v>6900000</v>
      </c>
      <c r="BV60" s="12">
        <v>0</v>
      </c>
      <c r="BW60" s="12">
        <v>276</v>
      </c>
      <c r="BX60" s="12">
        <f t="shared" si="42"/>
        <v>1206772.8504317089</v>
      </c>
      <c r="BY60" s="12">
        <f t="shared" si="42"/>
        <v>0</v>
      </c>
      <c r="BZ60" s="12">
        <f t="shared" si="41"/>
        <v>1320619.3438434869</v>
      </c>
      <c r="CA60" s="12">
        <f t="shared" si="41"/>
        <v>0</v>
      </c>
      <c r="CB60" s="12">
        <f t="shared" si="41"/>
        <v>795407.51144594862</v>
      </c>
      <c r="CC60" s="12">
        <f t="shared" si="41"/>
        <v>0</v>
      </c>
      <c r="CD60" s="12">
        <f t="shared" si="41"/>
        <v>888002.65874529921</v>
      </c>
      <c r="CE60" s="12">
        <f t="shared" si="41"/>
        <v>0</v>
      </c>
      <c r="CF60" s="12">
        <f t="shared" si="41"/>
        <v>2337647.949900026</v>
      </c>
      <c r="CG60" s="12">
        <f t="shared" si="41"/>
        <v>0</v>
      </c>
      <c r="CH60" s="12">
        <f t="shared" si="41"/>
        <v>910772.00780621218</v>
      </c>
      <c r="CI60" s="12">
        <f t="shared" si="41"/>
        <v>10717455.621301774</v>
      </c>
      <c r="CJ60" s="12">
        <f t="shared" si="41"/>
        <v>0</v>
      </c>
      <c r="CK60" s="12">
        <f t="shared" si="41"/>
        <v>115000</v>
      </c>
    </row>
    <row r="61" spans="38:89" x14ac:dyDescent="0.3">
      <c r="BN61" s="11" t="s">
        <v>77</v>
      </c>
      <c r="BO61" s="11" t="s">
        <v>77</v>
      </c>
      <c r="BP61" s="11" t="s">
        <v>61</v>
      </c>
      <c r="BQ61" s="11" t="s">
        <v>61</v>
      </c>
      <c r="BR61" s="12">
        <v>15400000</v>
      </c>
      <c r="BS61" s="12">
        <v>15400000</v>
      </c>
      <c r="BT61" s="12">
        <v>8800000</v>
      </c>
      <c r="BU61" s="12">
        <v>6600000</v>
      </c>
      <c r="BV61" s="12">
        <v>0</v>
      </c>
      <c r="BW61" s="12">
        <v>264</v>
      </c>
      <c r="BX61" s="12">
        <f t="shared" si="42"/>
        <v>1154304.4656303304</v>
      </c>
      <c r="BY61" s="12">
        <f t="shared" si="42"/>
        <v>0</v>
      </c>
      <c r="BZ61" s="12">
        <f t="shared" si="41"/>
        <v>1263201.1115024658</v>
      </c>
      <c r="CA61" s="12">
        <f t="shared" si="41"/>
        <v>0</v>
      </c>
      <c r="CB61" s="12">
        <f t="shared" si="41"/>
        <v>760824.57616569009</v>
      </c>
      <c r="CC61" s="12">
        <f t="shared" si="41"/>
        <v>0</v>
      </c>
      <c r="CD61" s="12">
        <f t="shared" si="41"/>
        <v>849393.84749550372</v>
      </c>
      <c r="CE61" s="12">
        <f t="shared" si="41"/>
        <v>0</v>
      </c>
      <c r="CF61" s="12">
        <f t="shared" si="41"/>
        <v>2236011.0825130683</v>
      </c>
      <c r="CG61" s="12">
        <f t="shared" si="41"/>
        <v>0</v>
      </c>
      <c r="CH61" s="12">
        <f t="shared" si="41"/>
        <v>871173.22485811601</v>
      </c>
      <c r="CI61" s="12">
        <f t="shared" si="41"/>
        <v>10251479.289940828</v>
      </c>
      <c r="CJ61" s="12">
        <f t="shared" si="41"/>
        <v>0</v>
      </c>
      <c r="CK61" s="12">
        <f t="shared" si="41"/>
        <v>256666.66666666669</v>
      </c>
    </row>
    <row r="62" spans="38:89" x14ac:dyDescent="0.3">
      <c r="BN62" s="11" t="s">
        <v>77</v>
      </c>
      <c r="BO62" s="11" t="s">
        <v>77</v>
      </c>
      <c r="BP62" s="11" t="s">
        <v>74</v>
      </c>
      <c r="BQ62" s="11" t="s">
        <v>74</v>
      </c>
      <c r="BR62" s="12">
        <v>15400000</v>
      </c>
      <c r="BS62" s="12">
        <v>15400000</v>
      </c>
      <c r="BT62" s="12">
        <v>8200000</v>
      </c>
      <c r="BU62" s="12">
        <v>7200000</v>
      </c>
      <c r="BV62" s="12">
        <v>0</v>
      </c>
      <c r="BW62" s="12">
        <v>276.92307692307691</v>
      </c>
      <c r="BX62" s="12">
        <f t="shared" si="42"/>
        <v>1210808.880031815</v>
      </c>
      <c r="BY62" s="12">
        <f t="shared" si="42"/>
        <v>0</v>
      </c>
      <c r="BZ62" s="12">
        <f t="shared" si="41"/>
        <v>1325036.1309466423</v>
      </c>
      <c r="CA62" s="12">
        <f t="shared" si="41"/>
        <v>0</v>
      </c>
      <c r="CB62" s="12">
        <f t="shared" si="41"/>
        <v>798067.73723673774</v>
      </c>
      <c r="CC62" s="12">
        <f t="shared" si="41"/>
        <v>0</v>
      </c>
      <c r="CD62" s="12">
        <f t="shared" si="41"/>
        <v>890972.5673029758</v>
      </c>
      <c r="CE62" s="12">
        <f t="shared" si="41"/>
        <v>0</v>
      </c>
      <c r="CF62" s="12">
        <f t="shared" si="41"/>
        <v>2345466.1704682535</v>
      </c>
      <c r="CG62" s="12">
        <f t="shared" si="41"/>
        <v>0</v>
      </c>
      <c r="CH62" s="12">
        <f t="shared" si="41"/>
        <v>913818.0680329887</v>
      </c>
      <c r="CI62" s="12">
        <f t="shared" si="41"/>
        <v>11183431.952662721</v>
      </c>
      <c r="CJ62" s="12">
        <f t="shared" si="41"/>
        <v>0</v>
      </c>
      <c r="CK62" s="12">
        <f t="shared" si="41"/>
        <v>256666.66666666669</v>
      </c>
    </row>
    <row r="63" spans="38:89" x14ac:dyDescent="0.3">
      <c r="BN63" s="11" t="s">
        <v>77</v>
      </c>
      <c r="BO63" s="11" t="s">
        <v>77</v>
      </c>
      <c r="BP63" s="11" t="s">
        <v>76</v>
      </c>
      <c r="BQ63" s="11" t="s">
        <v>76</v>
      </c>
      <c r="BR63" s="12">
        <v>16100000</v>
      </c>
      <c r="BS63" s="12">
        <v>16100000</v>
      </c>
      <c r="BT63" s="12">
        <v>8600000</v>
      </c>
      <c r="BU63" s="12">
        <v>7500000</v>
      </c>
      <c r="BV63" s="12">
        <v>0</v>
      </c>
      <c r="BW63" s="12">
        <v>227.27272727272728</v>
      </c>
      <c r="BX63" s="12">
        <f t="shared" si="42"/>
        <v>993719.40911701997</v>
      </c>
      <c r="BY63" s="12">
        <f t="shared" si="42"/>
        <v>0</v>
      </c>
      <c r="BZ63" s="12">
        <f t="shared" si="41"/>
        <v>1087466.5216102495</v>
      </c>
      <c r="CA63" s="12">
        <f t="shared" si="41"/>
        <v>0</v>
      </c>
      <c r="CB63" s="12">
        <f t="shared" si="41"/>
        <v>654979.83485338336</v>
      </c>
      <c r="CC63" s="12">
        <f t="shared" si="41"/>
        <v>0</v>
      </c>
      <c r="CD63" s="12">
        <f t="shared" si="41"/>
        <v>731227.48579158378</v>
      </c>
      <c r="CE63" s="12">
        <f t="shared" si="41"/>
        <v>0</v>
      </c>
      <c r="CF63" s="12">
        <f t="shared" si="41"/>
        <v>1924940.6702075314</v>
      </c>
      <c r="CG63" s="12">
        <f t="shared" si="41"/>
        <v>0</v>
      </c>
      <c r="CH63" s="12">
        <f t="shared" si="41"/>
        <v>749976.94977454888</v>
      </c>
      <c r="CI63" s="12">
        <f t="shared" si="41"/>
        <v>11649408.284023669</v>
      </c>
      <c r="CJ63" s="12">
        <f t="shared" si="41"/>
        <v>0</v>
      </c>
      <c r="CK63" s="12">
        <f t="shared" si="41"/>
        <v>268333.33333333331</v>
      </c>
    </row>
    <row r="64" spans="38:89" x14ac:dyDescent="0.3">
      <c r="BN64" s="11" t="s">
        <v>118</v>
      </c>
      <c r="BO64" s="11"/>
      <c r="BP64" s="11"/>
      <c r="BQ64" s="11"/>
      <c r="BR64" s="12">
        <f>SUM(BR48:BR63)</f>
        <v>150000000</v>
      </c>
      <c r="BS64" s="12">
        <v>150000000</v>
      </c>
      <c r="BT64" s="12">
        <v>61700000</v>
      </c>
      <c r="BU64" s="12">
        <v>88300000</v>
      </c>
      <c r="BV64" s="12">
        <v>622.7603791628344</v>
      </c>
      <c r="BW64" s="12">
        <v>1298.7412587412587</v>
      </c>
      <c r="BX64" s="12">
        <f t="shared" ref="BX64" si="43">(BX43/BX$43)*$BP$7</f>
        <v>5678571.343421936</v>
      </c>
      <c r="BY64" s="12">
        <f t="shared" si="42"/>
        <v>5678571.343421936</v>
      </c>
      <c r="BZ64" s="12">
        <f t="shared" si="42"/>
        <v>6214285.6121063232</v>
      </c>
      <c r="CA64" s="12">
        <f t="shared" si="42"/>
        <v>4142857.0747375488</v>
      </c>
      <c r="CB64" s="12">
        <f t="shared" si="42"/>
        <v>3742857.0747375488</v>
      </c>
      <c r="CC64" s="12">
        <f t="shared" si="42"/>
        <v>5614285.6121063232</v>
      </c>
      <c r="CD64" s="12">
        <f t="shared" si="42"/>
        <v>4178571.343421936</v>
      </c>
      <c r="CE64" s="12">
        <f t="shared" si="42"/>
        <v>4178571.343421936</v>
      </c>
      <c r="CF64" s="12">
        <f t="shared" si="42"/>
        <v>10999999.423721313</v>
      </c>
      <c r="CG64" s="12">
        <f t="shared" si="42"/>
        <v>5285714.4342193604</v>
      </c>
      <c r="CH64" s="12">
        <f t="shared" si="42"/>
        <v>4285714.4342193604</v>
      </c>
      <c r="CI64" s="12">
        <f t="shared" si="42"/>
        <v>52500000</v>
      </c>
      <c r="CJ64" s="12">
        <f t="shared" si="42"/>
        <v>5000000</v>
      </c>
      <c r="CK64" s="12">
        <f t="shared" si="42"/>
        <v>2500000</v>
      </c>
    </row>
    <row r="65" spans="66:89" x14ac:dyDescent="0.3">
      <c r="BW65" s="9" t="s">
        <v>124</v>
      </c>
      <c r="BX65" s="24">
        <f>VLOOKUP(BX$47,$BM$6:$BP$20,4,FALSE)-BX64</f>
        <v>0</v>
      </c>
      <c r="BY65" s="24">
        <f>VLOOKUP(BY$47,$BM$6:$BP$20,4,FALSE)-BY64</f>
        <v>0</v>
      </c>
      <c r="BZ65" s="24">
        <f t="shared" ref="BZ65:CK65" si="44">VLOOKUP(BZ$47,$BM$6:$BP$20,4,FALSE)-BZ64</f>
        <v>0</v>
      </c>
      <c r="CA65" s="24">
        <f t="shared" si="44"/>
        <v>0</v>
      </c>
      <c r="CB65" s="24">
        <f t="shared" si="44"/>
        <v>0</v>
      </c>
      <c r="CC65" s="24">
        <f t="shared" si="44"/>
        <v>0</v>
      </c>
      <c r="CD65" s="24">
        <f t="shared" si="44"/>
        <v>0</v>
      </c>
      <c r="CE65" s="24">
        <f t="shared" si="44"/>
        <v>0</v>
      </c>
      <c r="CF65" s="24">
        <f t="shared" si="44"/>
        <v>0</v>
      </c>
      <c r="CG65" s="24">
        <f t="shared" si="44"/>
        <v>0</v>
      </c>
      <c r="CH65" s="24">
        <f t="shared" si="44"/>
        <v>0</v>
      </c>
      <c r="CI65" s="24">
        <f t="shared" si="44"/>
        <v>0</v>
      </c>
      <c r="CJ65" s="24">
        <f t="shared" si="44"/>
        <v>0</v>
      </c>
      <c r="CK65" s="24">
        <f t="shared" si="44"/>
        <v>0</v>
      </c>
    </row>
    <row r="67" spans="66:89" x14ac:dyDescent="0.3">
      <c r="BN67" t="s">
        <v>151</v>
      </c>
    </row>
    <row r="68" spans="66:89" x14ac:dyDescent="0.3">
      <c r="BN68" s="10" t="s">
        <v>28</v>
      </c>
      <c r="BO68" s="10" t="s">
        <v>47</v>
      </c>
      <c r="BP68" s="10" t="s">
        <v>96</v>
      </c>
      <c r="BQ68" s="10" t="s">
        <v>62</v>
      </c>
      <c r="BR68" s="10" t="s">
        <v>97</v>
      </c>
      <c r="BS68" s="9" t="s">
        <v>125</v>
      </c>
      <c r="BT68" s="9" t="s">
        <v>126</v>
      </c>
    </row>
    <row r="69" spans="66:89" x14ac:dyDescent="0.3">
      <c r="BN69" s="11" t="s">
        <v>77</v>
      </c>
      <c r="BO69" s="11" t="s">
        <v>35</v>
      </c>
      <c r="BP69" s="11" t="s">
        <v>57</v>
      </c>
      <c r="BQ69" s="11" t="s">
        <v>57</v>
      </c>
      <c r="BR69" s="12">
        <v>12800000</v>
      </c>
      <c r="BS69" s="12">
        <f>SUM(BX48:CK48)</f>
        <v>3852051.9236153741</v>
      </c>
      <c r="BT69" s="12">
        <f>BR69-BS69</f>
        <v>8947948.0763846263</v>
      </c>
    </row>
    <row r="70" spans="66:89" x14ac:dyDescent="0.3">
      <c r="BN70" s="11" t="s">
        <v>77</v>
      </c>
      <c r="BO70" s="11" t="s">
        <v>35</v>
      </c>
      <c r="BP70" s="11" t="s">
        <v>57</v>
      </c>
      <c r="BQ70" s="11" t="s">
        <v>74</v>
      </c>
      <c r="BR70" s="12">
        <v>3400000</v>
      </c>
      <c r="BS70" s="12">
        <f t="shared" ref="BS70:BS84" si="45">SUM(BX49:CK49)</f>
        <v>1799573.6583350396</v>
      </c>
      <c r="BT70" s="12">
        <f t="shared" ref="BT70:BT84" si="46">BR70-BS70</f>
        <v>1600426.3416649604</v>
      </c>
    </row>
    <row r="71" spans="66:89" x14ac:dyDescent="0.3">
      <c r="BN71" s="11" t="s">
        <v>77</v>
      </c>
      <c r="BO71" s="11" t="s">
        <v>35</v>
      </c>
      <c r="BP71" s="11" t="s">
        <v>61</v>
      </c>
      <c r="BQ71" s="11" t="s">
        <v>61</v>
      </c>
      <c r="BR71" s="12">
        <v>15400000</v>
      </c>
      <c r="BS71" s="12">
        <f t="shared" si="45"/>
        <v>3739403.3598051439</v>
      </c>
      <c r="BT71" s="12">
        <f t="shared" si="46"/>
        <v>11660596.640194856</v>
      </c>
    </row>
    <row r="72" spans="66:89" x14ac:dyDescent="0.3">
      <c r="BN72" s="11" t="s">
        <v>77</v>
      </c>
      <c r="BO72" s="11" t="s">
        <v>35</v>
      </c>
      <c r="BP72" s="11" t="s">
        <v>61</v>
      </c>
      <c r="BQ72" s="11" t="s">
        <v>74</v>
      </c>
      <c r="BR72" s="12">
        <v>5200000</v>
      </c>
      <c r="BS72" s="12">
        <f t="shared" si="45"/>
        <v>2752289.1245124131</v>
      </c>
      <c r="BT72" s="12">
        <f t="shared" si="46"/>
        <v>2447710.8754875869</v>
      </c>
    </row>
    <row r="73" spans="66:89" x14ac:dyDescent="0.3">
      <c r="BN73" s="11" t="s">
        <v>77</v>
      </c>
      <c r="BO73" s="11" t="s">
        <v>35</v>
      </c>
      <c r="BP73" s="11" t="s">
        <v>61</v>
      </c>
      <c r="BQ73" s="11" t="s">
        <v>76</v>
      </c>
      <c r="BR73" s="12">
        <v>1700000</v>
      </c>
      <c r="BS73" s="12">
        <f t="shared" si="45"/>
        <v>948022.12308315316</v>
      </c>
      <c r="BT73" s="12">
        <f t="shared" si="46"/>
        <v>751977.87691684684</v>
      </c>
    </row>
    <row r="74" spans="66:89" x14ac:dyDescent="0.3">
      <c r="BN74" s="11" t="s">
        <v>77</v>
      </c>
      <c r="BO74" s="11" t="s">
        <v>35</v>
      </c>
      <c r="BP74" s="11" t="s">
        <v>74</v>
      </c>
      <c r="BQ74" s="11" t="s">
        <v>57</v>
      </c>
      <c r="BR74" s="12">
        <v>5200000</v>
      </c>
      <c r="BS74" s="12">
        <f t="shared" si="45"/>
        <v>2953535.8590100929</v>
      </c>
      <c r="BT74" s="12">
        <f t="shared" si="46"/>
        <v>2246464.1409899071</v>
      </c>
    </row>
    <row r="75" spans="66:89" x14ac:dyDescent="0.3">
      <c r="BN75" s="11" t="s">
        <v>77</v>
      </c>
      <c r="BO75" s="11" t="s">
        <v>35</v>
      </c>
      <c r="BP75" s="11" t="s">
        <v>74</v>
      </c>
      <c r="BQ75" s="11" t="s">
        <v>74</v>
      </c>
      <c r="BR75" s="12">
        <v>12300000</v>
      </c>
      <c r="BS75" s="12">
        <f t="shared" si="45"/>
        <v>3434504.1316208085</v>
      </c>
      <c r="BT75" s="12">
        <f t="shared" si="46"/>
        <v>8865495.8683791906</v>
      </c>
    </row>
    <row r="76" spans="66:89" x14ac:dyDescent="0.3">
      <c r="BN76" s="11" t="s">
        <v>77</v>
      </c>
      <c r="BO76" s="11" t="s">
        <v>35</v>
      </c>
      <c r="BP76" s="11" t="s">
        <v>74</v>
      </c>
      <c r="BQ76" s="11" t="s">
        <v>76</v>
      </c>
      <c r="BR76" s="12">
        <v>5200000</v>
      </c>
      <c r="BS76" s="12">
        <f t="shared" si="45"/>
        <v>2899832.3764896444</v>
      </c>
      <c r="BT76" s="12">
        <f t="shared" si="46"/>
        <v>2300167.6235103556</v>
      </c>
    </row>
    <row r="77" spans="66:89" x14ac:dyDescent="0.3">
      <c r="BN77" s="11" t="s">
        <v>77</v>
      </c>
      <c r="BO77" s="11" t="s">
        <v>35</v>
      </c>
      <c r="BP77" s="11" t="s">
        <v>76</v>
      </c>
      <c r="BQ77" s="11" t="s">
        <v>57</v>
      </c>
      <c r="BR77" s="12">
        <v>5000000</v>
      </c>
      <c r="BS77" s="12">
        <f t="shared" si="45"/>
        <v>2839938.325971243</v>
      </c>
      <c r="BT77" s="12">
        <f t="shared" si="46"/>
        <v>2160061.674028757</v>
      </c>
    </row>
    <row r="78" spans="66:89" x14ac:dyDescent="0.3">
      <c r="BN78" s="11" t="s">
        <v>77</v>
      </c>
      <c r="BO78" s="11" t="s">
        <v>35</v>
      </c>
      <c r="BP78" s="11" t="s">
        <v>76</v>
      </c>
      <c r="BQ78" s="11" t="s">
        <v>61</v>
      </c>
      <c r="BR78" s="12">
        <v>3800000</v>
      </c>
      <c r="BS78" s="12">
        <f t="shared" si="45"/>
        <v>2385157.7954256516</v>
      </c>
      <c r="BT78" s="12">
        <f t="shared" si="46"/>
        <v>1414842.2045743484</v>
      </c>
    </row>
    <row r="79" spans="66:89" x14ac:dyDescent="0.3">
      <c r="BN79" s="11" t="s">
        <v>77</v>
      </c>
      <c r="BO79" s="11" t="s">
        <v>35</v>
      </c>
      <c r="BP79" s="11" t="s">
        <v>76</v>
      </c>
      <c r="BQ79" s="11" t="s">
        <v>76</v>
      </c>
      <c r="BR79" s="12">
        <v>13900000</v>
      </c>
      <c r="BS79" s="12">
        <f t="shared" si="45"/>
        <v>3694024.4633718706</v>
      </c>
      <c r="BT79" s="12">
        <f t="shared" si="46"/>
        <v>10205975.536628129</v>
      </c>
    </row>
    <row r="80" spans="66:89" x14ac:dyDescent="0.3">
      <c r="BN80" s="11" t="s">
        <v>77</v>
      </c>
      <c r="BO80" s="11" t="s">
        <v>77</v>
      </c>
      <c r="BP80" s="11" t="s">
        <v>57</v>
      </c>
      <c r="BQ80" s="11" t="s">
        <v>57</v>
      </c>
      <c r="BR80" s="12">
        <v>12300000</v>
      </c>
      <c r="BS80" s="12">
        <f t="shared" si="45"/>
        <v>15782613.02798784</v>
      </c>
      <c r="BT80" s="12">
        <f t="shared" si="46"/>
        <v>-3482613.0279878397</v>
      </c>
    </row>
    <row r="81" spans="66:72" x14ac:dyDescent="0.3">
      <c r="BN81" s="11" t="s">
        <v>77</v>
      </c>
      <c r="BO81" s="11" t="s">
        <v>77</v>
      </c>
      <c r="BP81" s="11" t="s">
        <v>57</v>
      </c>
      <c r="BQ81" s="11" t="s">
        <v>61</v>
      </c>
      <c r="BR81" s="12">
        <v>6900000</v>
      </c>
      <c r="BS81" s="12">
        <f t="shared" si="45"/>
        <v>18291677.943474457</v>
      </c>
      <c r="BT81" s="12">
        <f t="shared" si="46"/>
        <v>-11391677.943474457</v>
      </c>
    </row>
    <row r="82" spans="66:72" x14ac:dyDescent="0.3">
      <c r="BN82" s="11" t="s">
        <v>77</v>
      </c>
      <c r="BO82" s="11" t="s">
        <v>77</v>
      </c>
      <c r="BP82" s="11" t="s">
        <v>61</v>
      </c>
      <c r="BQ82" s="11" t="s">
        <v>61</v>
      </c>
      <c r="BR82" s="12">
        <v>15400000</v>
      </c>
      <c r="BS82" s="12">
        <f t="shared" si="45"/>
        <v>17643054.264772672</v>
      </c>
      <c r="BT82" s="12">
        <f t="shared" si="46"/>
        <v>-2243054.2647726722</v>
      </c>
    </row>
    <row r="83" spans="66:72" x14ac:dyDescent="0.3">
      <c r="BN83" s="11" t="s">
        <v>77</v>
      </c>
      <c r="BO83" s="11" t="s">
        <v>77</v>
      </c>
      <c r="BP83" s="11" t="s">
        <v>74</v>
      </c>
      <c r="BQ83" s="11" t="s">
        <v>74</v>
      </c>
      <c r="BR83" s="12">
        <v>15400000</v>
      </c>
      <c r="BS83" s="12">
        <f t="shared" si="45"/>
        <v>18924268.173348803</v>
      </c>
      <c r="BT83" s="12">
        <f t="shared" si="46"/>
        <v>-3524268.1733488031</v>
      </c>
    </row>
    <row r="84" spans="66:72" x14ac:dyDescent="0.3">
      <c r="BN84" s="11" t="s">
        <v>77</v>
      </c>
      <c r="BO84" s="11" t="s">
        <v>77</v>
      </c>
      <c r="BP84" s="11" t="s">
        <v>76</v>
      </c>
      <c r="BQ84" s="11" t="s">
        <v>76</v>
      </c>
      <c r="BR84" s="12">
        <v>16100000</v>
      </c>
      <c r="BS84" s="12">
        <f t="shared" si="45"/>
        <v>18060052.488711316</v>
      </c>
      <c r="BT84" s="12">
        <f t="shared" si="46"/>
        <v>-1960052.4887113161</v>
      </c>
    </row>
    <row r="85" spans="66:72" x14ac:dyDescent="0.3">
      <c r="BN85" s="11" t="s">
        <v>118</v>
      </c>
      <c r="BO85" s="11"/>
      <c r="BP85" s="11"/>
      <c r="BQ85" s="11"/>
      <c r="BR85" s="12">
        <f>SUM(BR69:BR84)</f>
        <v>150000000</v>
      </c>
      <c r="BS85" s="12">
        <f t="shared" ref="BS85:BT85" si="47">SUM(BS69:BS84)</f>
        <v>119999999.03953551</v>
      </c>
      <c r="BT85" s="12">
        <f t="shared" si="47"/>
        <v>30000000.96046447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원가계산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Donghoon Shin</dc:creator>
  <cp:lastModifiedBy>Donghoon Shin</cp:lastModifiedBy>
  <dcterms:created xsi:type="dcterms:W3CDTF">2026-06-08T12:33:26Z</dcterms:created>
  <dcterms:modified xsi:type="dcterms:W3CDTF">2026-06-09T11:57:54Z</dcterms:modified>
</cp:coreProperties>
</file>